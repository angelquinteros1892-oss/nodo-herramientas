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f09cb765948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c7a38593c7c4234"/>
    <x:sheet xmlns:r="http://schemas.openxmlformats.org/officeDocument/2006/relationships" name="Configuracion" sheetId="2" r:id="R2310873ee81848b1"/>
    <x:sheet xmlns:r="http://schemas.openxmlformats.org/officeDocument/2006/relationships" name="Base_Costos" sheetId="3" r:id="Rf70a0634eabd40d0"/>
    <x:sheet xmlns:r="http://schemas.openxmlformats.org/officeDocument/2006/relationships" name="Lista_Mayorista" sheetId="4" r:id="R5ad5916f8bc440d0"/>
    <x:sheet xmlns:r="http://schemas.openxmlformats.org/officeDocument/2006/relationships" name="Lista_Minorista" sheetId="5" r:id="Rf1ce7fcdd86c43c5"/>
    <x:sheet xmlns:r="http://schemas.openxmlformats.org/officeDocument/2006/relationships" name="WhatsApp_Rotacion" sheetId="6" r:id="R85adda03bad14a14"/>
    <x:sheet xmlns:r="http://schemas.openxmlformats.org/officeDocument/2006/relationships" name="Revisar_OCR" sheetId="7" r:id="Rfed75fc7c76142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$ #,##0"/>
    <x:numFmt numFmtId="202" formatCode="$ #,##0.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28C00"/>
      </x:patternFill>
    </x:fill>
    <x:fill>
      <x:patternFill patternType="solid">
        <x:fgColor rgb="FF1F2937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2" fillId="3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0" fontId="2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2" fillId="3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a0af37eec84f95" /><Relationship Type="http://schemas.openxmlformats.org/officeDocument/2006/relationships/theme" Target="/xl/theme/theme1.xml" Id="R5c7772cd57ff490c" /><Relationship Type="http://schemas.openxmlformats.org/officeDocument/2006/relationships/sharedStrings" Target="/xl/sharedStrings.xml" Id="Rf992560584974718" /><Relationship Type="http://schemas.openxmlformats.org/officeDocument/2006/relationships/worksheet" Target="/xl/worksheets/sheet1.xml" Id="Rec7a38593c7c4234" /><Relationship Type="http://schemas.openxmlformats.org/officeDocument/2006/relationships/worksheet" Target="/xl/worksheets/sheet2.xml" Id="R2310873ee81848b1" /><Relationship Type="http://schemas.openxmlformats.org/officeDocument/2006/relationships/worksheet" Target="/xl/worksheets/sheet3.xml" Id="Rf70a0634eabd40d0" /><Relationship Type="http://schemas.openxmlformats.org/officeDocument/2006/relationships/worksheet" Target="/xl/worksheets/sheet4.xml" Id="R5ad5916f8bc440d0" /><Relationship Type="http://schemas.openxmlformats.org/officeDocument/2006/relationships/worksheet" Target="/xl/worksheets/sheet5.xml" Id="Rf1ce7fcdd86c43c5" /><Relationship Type="http://schemas.openxmlformats.org/officeDocument/2006/relationships/worksheet" Target="/xl/worksheets/sheet6.xml" Id="R85adda03bad14a14" /><Relationship Type="http://schemas.openxmlformats.org/officeDocument/2006/relationships/worksheet" Target="/xl/worksheets/sheet7.xml" Id="Rfed75fc7c761428b" /></Relationships>
</file>

<file path=xl/tables/table1.xml><?xml version="1.0" encoding="utf-8"?>
<x:table xmlns:x="http://schemas.openxmlformats.org/spreadsheetml/2006/main" id="1" name="BaseCostos" displayName="BaseCostos" ref="A1:Q182" headerRowCount="1">
  <x:tableColumns count="17">
    <x:tableColumn id="1" name="ID"/>
    <x:tableColumn id="2" name="Categoría"/>
    <x:tableColumn id="3" name="Código"/>
    <x:tableColumn id="4" name="Producto"/>
    <x:tableColumn id="5" name="Detalle comercial"/>
    <x:tableColumn id="6" name="Precio compra"/>
    <x:tableColumn id="7" name="Margen mayorista"/>
    <x:tableColumn id="8" name="Precio mayorista sugerido"/>
    <x:tableColumn id="9" name="Margen minorista"/>
    <x:tableColumn id="10" name="Precio minorista sugerido"/>
    <x:tableColumn id="11" name="Precio promo transferencia"/>
    <x:tableColumn id="12" name="Stock"/>
    <x:tableColumn id="13" name="Unidad venta"/>
    <x:tableColumn id="14" name="Estado"/>
    <x:tableColumn id="15" name="Página PDF"/>
    <x:tableColumn id="16" name="Observaciones"/>
    <x:tableColumn id="17" name="Título original OCR"/>
  </x:tableColumns>
  <x:tableStyleInfo name="TableStyleMedium2" showRowStripes="1"/>
</x:table>
</file>

<file path=xl/tables/table2.xml><?xml version="1.0" encoding="utf-8"?>
<x:table xmlns:x="http://schemas.openxmlformats.org/spreadsheetml/2006/main" id="2" name="Tabla_Lista_Mayorista" displayName="Tabla_Lista_Mayorista" ref="A1:H182" headerRowCount="1">
  <x:tableColumns count="8">
    <x:tableColumn id="1" name="Categoría"/>
    <x:tableColumn id="2" name="Código"/>
    <x:tableColumn id="3" name="Producto"/>
    <x:tableColumn id="4" name="Detalle comercial"/>
    <x:tableColumn id="5" name="Precio mayorista"/>
    <x:tableColumn id="6" name="Compra mínima sugerida"/>
    <x:tableColumn id="7" name="Página PDF"/>
    <x:tableColumn id="8" name="Estado"/>
  </x:tableColumns>
  <x:tableStyleInfo name="TableStyleMedium2" showRowStripes="1"/>
</x:table>
</file>

<file path=xl/tables/table3.xml><?xml version="1.0" encoding="utf-8"?>
<x:table xmlns:x="http://schemas.openxmlformats.org/spreadsheetml/2006/main" id="3" name="Tabla_Lista_Minorista" displayName="Tabla_Lista_Minorista" ref="A1:H182" headerRowCount="1">
  <x:tableColumns count="8">
    <x:tableColumn id="1" name="Categoría"/>
    <x:tableColumn id="2" name="Código"/>
    <x:tableColumn id="3" name="Producto"/>
    <x:tableColumn id="4" name="Detalle comercial"/>
    <x:tableColumn id="5" name="Precio lista"/>
    <x:tableColumn id="6" name="Precio transferencia"/>
    <x:tableColumn id="7" name="Página PDF"/>
    <x:tableColumn id="8" name="Estado"/>
  </x:tableColumns>
  <x:tableStyleInfo name="TableStyleMedium2" showRowStripes="1"/>
</x:table>
</file>

<file path=xl/tables/table4.xml><?xml version="1.0" encoding="utf-8"?>
<x:table xmlns:x="http://schemas.openxmlformats.org/spreadsheetml/2006/main" id="4" name="Tabla_WhatsApp_Rotacion" displayName="Tabla_WhatsApp_Rotacion" ref="A1:F46" headerRowCount="1">
  <x:tableColumns count="6">
    <x:tableColumn id="1" name="Código"/>
    <x:tableColumn id="2" name="Producto"/>
    <x:tableColumn id="3" name="Categoría"/>
    <x:tableColumn id="4" name="Precio WhatsApp"/>
    <x:tableColumn id="5" name="Copy sugerido para publicación"/>
    <x:tableColumn id="6" name="Página PDF"/>
  </x:tableColumns>
  <x:tableStyleInfo name="TableStyleMedium2" showRowStripes="1"/>
</x:table>
</file>

<file path=xl/tables/table5.xml><?xml version="1.0" encoding="utf-8"?>
<x:table xmlns:x="http://schemas.openxmlformats.org/spreadsheetml/2006/main" id="5" name="Tabla_Revisar_OCR" displayName="Tabla_Revisar_OCR" ref="A1:F83" headerRowCount="1">
  <x:tableColumns count="6">
    <x:tableColumn id="1" name="Página PDF"/>
    <x:tableColumn id="2" name="Categoría"/>
    <x:tableColumn id="3" name="Código"/>
    <x:tableColumn id="4" name="Producto"/>
    <x:tableColumn id="5" name="Precio compra"/>
    <x:tableColumn id="6" name="Motiv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e5aca67529e46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ce8915e50094e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2eaf1bdc08e41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f22b2fa23a642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3d89501c7d34715" /></Relationships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43" t="str">
        <x:v>NODO HERRAMIENTAS - LUSQTOFF</x:v>
      </x:c>
      <x:c r="B1" s="43" t="str"/>
      <x:c r="C1" s="43" t="str"/>
      <x:c r="D1" s="43" t="str"/>
      <x:c r="E1" s="43" t="str"/>
    </x:row>
    <x:row r="2">
      <x:c r="A2" s="10" t="str">
        <x:v>Tablero de armado de lista mayorista/minorista</x:v>
      </x:c>
      <x:c r="B2" s="10" t="str"/>
      <x:c r="C2" s="10" t="str"/>
      <x:c r="D2" s="10" t="str"/>
      <x:c r="E2" s="10" t="str"/>
    </x:row>
    <x:row r="3">
      <x:c r="A3" t="str">
        <x:v>Fecha de armado</x:v>
      </x:c>
      <x:c r="B3" t="str">
        <x:v>20/06/2026</x:v>
      </x:c>
      <x:c r="C3" t="str"/>
      <x:c r="D3" t="str"/>
      <x:c r="E3" t="str"/>
    </x:row>
    <x:row r="4">
      <x:c r="A4" t="str">
        <x:v>Productos extraídos del PDF</x:v>
      </x:c>
      <x:c r="B4" t="n">
        <x:v>181</x:v>
      </x:c>
      <x:c r="C4" t="str"/>
      <x:c r="D4" t="str"/>
      <x:c r="E4" t="str"/>
    </x:row>
    <x:row r="5">
      <x:c r="A5" t="str">
        <x:v>Productos con control OCR recomendado</x:v>
      </x:c>
      <x:c r="B5" t="n">
        <x:v>82</x:v>
      </x:c>
      <x:c r="C5" t="str"/>
      <x:c r="D5" t="str"/>
      <x:c r="E5" t="str"/>
    </x:row>
    <x:row r="6">
      <x:c r="A6" t="str"/>
      <x:c r="B6" t="str"/>
      <x:c r="C6" t="str"/>
      <x:c r="D6" t="str"/>
      <x:c r="E6" t="str"/>
    </x:row>
    <x:row r="7">
      <x:c r="A7" s="52" t="str">
        <x:v>Categoría</x:v>
      </x:c>
      <x:c r="B7" s="52" t="str">
        <x:v>Cantidad de productos</x:v>
      </x:c>
      <x:c r="C7" s="52" t="str">
        <x:v>Costo total 1 unidad</x:v>
      </x:c>
      <x:c r="D7" s="52" t="str">
        <x:v>Mayorista prom.</x:v>
      </x:c>
      <x:c r="E7" s="52" t="str">
        <x:v>Minorista prom.</x:v>
      </x:c>
    </x:row>
    <x:row r="8">
      <x:c r="A8" s="21" t="str">
        <x:v>Amoladoras y Corte</x:v>
      </x:c>
      <x:c r="B8" s="21" t="n">
        <x:f>COUNTIF(Base_Costos!$B$2:$B$182,A8)</x:f>
        <x:v>6</x:v>
      </x:c>
      <x:c r="C8" s="22" t="n">
        <x:f>SUMIF(Base_Costos!$B$2:$B$182,A8,Base_Costos!$F$2:$F$182)</x:f>
        <x:v>626992.31</x:v>
      </x:c>
      <x:c r="D8" s="22" t="n">
        <x:f>IFERROR(AVERAGEIF(Base_Costos!$B$2:$B$182,A8,Base_Costos!$H$2:$H$182),0)</x:f>
        <x:v>130666.66666666667</x:v>
      </x:c>
      <x:c r="E8" s="22" t="n">
        <x:f>IFERROR(AVERAGEIF(Base_Costos!$B$2:$B$182,A8,Base_Costos!$J$2:$J$182),0)</x:f>
        <x:v>151566.66666666666</x:v>
      </x:c>
    </x:row>
    <x:row r="9">
      <x:c r="A9" s="21" t="str">
        <x:v>Taladros / 220V / Batería / Accesorios</x:v>
      </x:c>
      <x:c r="B9" s="21" t="n">
        <x:f>COUNTIF(Base_Costos!$B$2:$B$182,A9)</x:f>
        <x:v>22</x:v>
      </x:c>
      <x:c r="C9" s="22" t="n">
        <x:f>SUMIF(Base_Costos!$B$2:$B$182,A9,Base_Costos!$F$2:$F$182)</x:f>
        <x:v>2124786.13</x:v>
      </x:c>
      <x:c r="D9" s="22" t="n">
        <x:f>IFERROR(AVERAGEIF(Base_Costos!$B$2:$B$182,A9,Base_Costos!$H$2:$H$182),0)</x:f>
        <x:v>120772.72727272728</x:v>
      </x:c>
      <x:c r="E9" s="22" t="n">
        <x:f>IFERROR(AVERAGEIF(Base_Costos!$B$2:$B$182,A9,Base_Costos!$J$2:$J$182),0)</x:f>
        <x:v>140100</x:v>
      </x:c>
    </x:row>
    <x:row r="10">
      <x:c r="A10" s="21" t="str">
        <x:v>Set de Herramientas Completos / Individuales</x:v>
      </x:c>
      <x:c r="B10" s="21" t="n">
        <x:f>COUNTIF(Base_Costos!$B$2:$B$182,A10)</x:f>
        <x:v>48</x:v>
      </x:c>
      <x:c r="C10" s="22" t="n">
        <x:f>SUMIF(Base_Costos!$B$2:$B$182,A10,Base_Costos!$F$2:$F$182)</x:f>
        <x:v>3821063.04</x:v>
      </x:c>
      <x:c r="D10" s="22" t="n">
        <x:f>IFERROR(AVERAGEIF(Base_Costos!$B$2:$B$182,A10,Base_Costos!$H$2:$H$182),0)</x:f>
        <x:v>101947.91666666667</x:v>
      </x:c>
      <x:c r="E10" s="22" t="n">
        <x:f>IFERROR(AVERAGEIF(Base_Costos!$B$2:$B$182,A10,Base_Costos!$J$2:$J$182),0)</x:f>
        <x:v>119458.33333333333</x:v>
      </x:c>
    </x:row>
    <x:row r="11">
      <x:c r="A11" s="21" t="str">
        <x:v>Soldadoras / Accesorios</x:v>
      </x:c>
      <x:c r="B11" s="21" t="n">
        <x:f>COUNTIF(Base_Costos!$B$2:$B$182,A11)</x:f>
        <x:v>5</x:v>
      </x:c>
      <x:c r="C11" s="22" t="n">
        <x:f>SUMIF(Base_Costos!$B$2:$B$182,A11,Base_Costos!$F$2:$F$182)</x:f>
        <x:v>763272.6700000002</x:v>
      </x:c>
      <x:c r="D11" s="22" t="n">
        <x:f>IFERROR(AVERAGEIF(Base_Costos!$B$2:$B$182,A11,Base_Costos!$H$2:$H$182),0)</x:f>
        <x:v>186280</x:v>
      </x:c>
      <x:c r="E11" s="22" t="n">
        <x:f>IFERROR(AVERAGEIF(Base_Costos!$B$2:$B$182,A11,Base_Costos!$J$2:$J$182),0)</x:f>
        <x:v>213780</x:v>
      </x:c>
    </x:row>
    <x:row r="12">
      <x:c r="A12" s="21" t="str">
        <x:v>Compresores y Neumática</x:v>
      </x:c>
      <x:c r="B12" s="21" t="n">
        <x:f>COUNTIF(Base_Costos!$B$2:$B$182,A12)</x:f>
        <x:v>8</x:v>
      </x:c>
      <x:c r="C12" s="22" t="n">
        <x:f>SUMIF(Base_Costos!$B$2:$B$182,A12,Base_Costos!$F$2:$F$182)</x:f>
        <x:v>997958.4</x:v>
      </x:c>
      <x:c r="D12" s="22" t="n">
        <x:f>IFERROR(AVERAGEIF(Base_Costos!$B$2:$B$182,A12,Base_Costos!$H$2:$H$182),0)</x:f>
        <x:v>152225</x:v>
      </x:c>
      <x:c r="E12" s="22" t="n">
        <x:f>IFERROR(AVERAGEIF(Base_Costos!$B$2:$B$182,A12,Base_Costos!$J$2:$J$182),0)</x:f>
        <x:v>177175</x:v>
      </x:c>
    </x:row>
    <x:row r="13">
      <x:c r="A13" s="21" t="str">
        <x:v>Carpintería y Madera</x:v>
      </x:c>
      <x:c r="B13" s="21" t="n">
        <x:f>COUNTIF(Base_Costos!$B$2:$B$182,A13)</x:f>
        <x:v>8</x:v>
      </x:c>
      <x:c r="C13" s="22" t="n">
        <x:f>SUMIF(Base_Costos!$B$2:$B$182,A13,Base_Costos!$F$2:$F$182)</x:f>
        <x:v>1039152.9199999999</x:v>
      </x:c>
      <x:c r="D13" s="22" t="n">
        <x:f>IFERROR(AVERAGEIF(Base_Costos!$B$2:$B$182,A13,Base_Costos!$H$2:$H$182),0)</x:f>
        <x:v>162425</x:v>
      </x:c>
      <x:c r="E13" s="22" t="n">
        <x:f>IFERROR(AVERAGEIF(Base_Costos!$B$2:$B$182,A13,Base_Costos!$J$2:$J$182),0)</x:f>
        <x:v>188412.5</x:v>
      </x:c>
    </x:row>
    <x:row r="14">
      <x:c r="A14" s="21" t="str">
        <x:v>Jardinería / Camping / Exterior</x:v>
      </x:c>
      <x:c r="B14" s="21" t="n">
        <x:f>COUNTIF(Base_Costos!$B$2:$B$182,A14)</x:f>
        <x:v>33</x:v>
      </x:c>
      <x:c r="C14" s="22" t="n">
        <x:f>SUMIF(Base_Costos!$B$2:$B$182,A14,Base_Costos!$F$2:$F$182)</x:f>
        <x:v>2472765.2300000004</x:v>
      </x:c>
      <x:c r="D14" s="22" t="n">
        <x:f>IFERROR(AVERAGEIF(Base_Costos!$B$2:$B$182,A14,Base_Costos!$H$2:$H$182),0)</x:f>
        <x:v>93715.15151515152</x:v>
      </x:c>
      <x:c r="E14" s="22" t="n">
        <x:f>IFERROR(AVERAGEIF(Base_Costos!$B$2:$B$182,A14,Base_Costos!$J$2:$J$182),0)</x:f>
        <x:v>108703.0303030303</x:v>
      </x:c>
    </x:row>
    <x:row r="15">
      <x:c r="A15" s="21" t="str">
        <x:v>Accesorios / Consumibles</x:v>
      </x:c>
      <x:c r="B15" s="21" t="n">
        <x:f>COUNTIF(Base_Costos!$B$2:$B$182,A15)</x:f>
        <x:v>21</x:v>
      </x:c>
      <x:c r="C15" s="22" t="n">
        <x:f>SUMIF(Base_Costos!$B$2:$B$182,A15,Base_Costos!$F$2:$F$182)</x:f>
        <x:v>364470.58</x:v>
      </x:c>
      <x:c r="D15" s="22" t="n">
        <x:f>IFERROR(AVERAGEIF(Base_Costos!$B$2:$B$182,A15,Base_Costos!$H$2:$H$182),0)</x:f>
        <x:v>23476.190476190477</x:v>
      </x:c>
      <x:c r="E15" s="22" t="n">
        <x:f>IFERROR(AVERAGEIF(Base_Costos!$B$2:$B$182,A15,Base_Costos!$J$2:$J$182),0)</x:f>
        <x:v>27819.04761904762</x:v>
      </x:c>
    </x:row>
    <x:row r="16">
      <x:c r="A16" s="21" t="str">
        <x:v>Generadores / Bomba de Agua</x:v>
      </x:c>
      <x:c r="B16" s="21" t="n">
        <x:f>COUNTIF(Base_Costos!$B$2:$B$182,A16)</x:f>
        <x:v>7</x:v>
      </x:c>
      <x:c r="C16" s="22" t="n">
        <x:f>SUMIF(Base_Costos!$B$2:$B$182,A16,Base_Costos!$F$2:$F$182)</x:f>
        <x:v>1155489.4799999997</x:v>
      </x:c>
      <x:c r="D16" s="22" t="n">
        <x:f>IFERROR(AVERAGEIF(Base_Costos!$B$2:$B$182,A16,Base_Costos!$H$2:$H$182),0)</x:f>
        <x:v>194842.85714285713</x:v>
      </x:c>
      <x:c r="E16" s="22" t="n">
        <x:f>IFERROR(AVERAGEIF(Base_Costos!$B$2:$B$182,A16,Base_Costos!$J$2:$J$182),0)</x:f>
        <x:v>222885.7142857143</x:v>
      </x:c>
    </x:row>
    <x:row r="17">
      <x:c r="A17" s="21" t="str">
        <x:v>Estética y Accesorios Automotor</x:v>
      </x:c>
      <x:c r="B17" s="21" t="n">
        <x:f>COUNTIF(Base_Costos!$B$2:$B$182,A17)</x:f>
        <x:v>17</x:v>
      </x:c>
      <x:c r="C17" s="22" t="n">
        <x:f>SUMIF(Base_Costos!$B$2:$B$182,A17,Base_Costos!$F$2:$F$182)</x:f>
        <x:v>2962426.13</x:v>
      </x:c>
      <x:c r="D17" s="22" t="n">
        <x:f>IFERROR(AVERAGEIF(Base_Costos!$B$2:$B$182,A17,Base_Costos!$H$2:$H$182),0)</x:f>
        <x:v>226600</x:v>
      </x:c>
      <x:c r="E17" s="22" t="n">
        <x:f>IFERROR(AVERAGEIF(Base_Costos!$B$2:$B$182,A17,Base_Costos!$J$2:$J$182),0)</x:f>
        <x:v>270141.17647058825</x:v>
      </x:c>
    </x:row>
    <x:row r="18">
      <x:c r="A18" s="21" t="str">
        <x:v>Y Más Herramientas</x:v>
      </x:c>
      <x:c r="B18" s="21" t="n">
        <x:f>COUNTIF(Base_Costos!$B$2:$B$182,A18)</x:f>
        <x:v>6</x:v>
      </x:c>
      <x:c r="C18" s="22" t="n">
        <x:f>SUMIF(Base_Costos!$B$2:$B$182,A18,Base_Costos!$F$2:$F$182)</x:f>
        <x:v>1338793.25</x:v>
      </x:c>
      <x:c r="D18" s="22" t="n">
        <x:f>IFERROR(AVERAGEIF(Base_Costos!$B$2:$B$182,A18,Base_Costos!$H$2:$H$182),0)</x:f>
        <x:v>278950</x:v>
      </x:c>
      <x:c r="E18" s="22" t="n">
        <x:f>IFERROR(AVERAGEIF(Base_Costos!$B$2:$B$182,A18,Base_Costos!$J$2:$J$182),0)</x:f>
        <x:v>323583.3333333333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60" hidden="0" customWidth="1"/>
  </x:cols>
  <x:sheetData>
    <x:row r="1">
      <x:c r="A1" s="20" t="str">
        <x:v>NODO HERRAMIENTAS - ESTRATEGIA LUSQTOFF</x:v>
      </x:c>
      <x:c r="B1" s="20" t="str"/>
      <x:c r="C1" s="20" t="str"/>
      <x:c r="D1" s="20" t="str"/>
    </x:row>
    <x:row r="2">
      <x:c r="A2" s="21" t="str"/>
      <x:c r="B2" s="21" t="str"/>
      <x:c r="C2" s="21" t="str"/>
      <x:c r="D2" s="21" t="str"/>
    </x:row>
    <x:row r="3">
      <x:c r="A3" s="21" t="str">
        <x:v>Redondeo de precios</x:v>
      </x:c>
      <x:c r="B3" s="22" t="n">
        <x:v>100</x:v>
      </x:c>
      <x:c r="C3" s="21" t="str"/>
      <x:c r="D3" s="21" t="str">
        <x:v>Editar este valor para redondear a $100, $500, $1.000, etc.</x:v>
      </x:c>
    </x:row>
    <x:row r="4">
      <x:c r="A4" s="21" t="str">
        <x:v>Descuento minorista por transferencia</x:v>
      </x:c>
      <x:c r="B4" s="23" t="n">
        <x:v>0.05</x:v>
      </x:c>
      <x:c r="C4" s="23" t="str"/>
      <x:c r="D4" s="21" t="str">
        <x:v>Se aplica sobre el precio minorista de lista.</x:v>
      </x:c>
    </x:row>
    <x:row r="5">
      <x:c r="A5" s="21" t="str">
        <x:v>Margen mayorista default</x:v>
      </x:c>
      <x:c r="B5" s="23" t="n">
        <x:v>0.25</x:v>
      </x:c>
      <x:c r="C5" s="23" t="n">
        <x:v>0.45</x:v>
      </x:c>
      <x:c r="D5" s="21" t="str">
        <x:v>Columna B = mayorista / Columna C = minorista.</x:v>
      </x:c>
    </x:row>
    <x:row r="6">
      <x:c r="A6" s="21" t="str"/>
      <x:c r="B6" s="23" t="str"/>
      <x:c r="C6" s="23" t="str"/>
      <x:c r="D6" s="21" t="str"/>
    </x:row>
    <x:row r="7">
      <x:c r="A7" s="21" t="str">
        <x:v>Instrucción</x:v>
      </x:c>
      <x:c r="B7" s="23" t="str">
        <x:v>Modificar márgenes por categoría en esta tabla. Las listas se recalculan automáticamente.</x:v>
      </x:c>
      <x:c r="C7" s="23" t="str"/>
      <x:c r="D7" s="21" t="str"/>
    </x:row>
    <x:row r="8">
      <x:c r="A8" s="24" t="str">
        <x:v>Categoría</x:v>
      </x:c>
      <x:c r="B8" s="25" t="str">
        <x:v>Margen mayorista</x:v>
      </x:c>
      <x:c r="C8" s="25" t="str">
        <x:v>Margen minorista</x:v>
      </x:c>
      <x:c r="D8" s="24" t="str">
        <x:v>Criterio comercial</x:v>
      </x:c>
    </x:row>
    <x:row r="9">
      <x:c r="A9" s="21" t="str">
        <x:v>Amoladoras y Corte</x:v>
      </x:c>
      <x:c r="B9" s="23" t="n">
        <x:v>0.25</x:v>
      </x:c>
      <x:c r="C9" s="23" t="n">
        <x:v>0.45</x:v>
      </x:c>
      <x:c r="D9" s="21" t="str">
        <x:v>Alta rotación: margen medio y precio competitivo.</x:v>
      </x:c>
    </x:row>
    <x:row r="10">
      <x:c r="A10" s="21" t="str">
        <x:v>Taladros / 220V / Batería / Accesorios</x:v>
      </x:c>
      <x:c r="B10" s="23" t="n">
        <x:v>0.25</x:v>
      </x:c>
      <x:c r="C10" s="23" t="n">
        <x:v>0.45</x:v>
      </x:c>
      <x:c r="D10" s="21" t="str">
        <x:v>Familia de consulta frecuente para obra, hogar y mantenimiento.</x:v>
      </x:c>
    </x:row>
    <x:row r="11">
      <x:c r="A11" s="21" t="str">
        <x:v>Set de Herramientas Completos / Individuales</x:v>
      </x:c>
      <x:c r="B11" s="23" t="n">
        <x:v>0.28</x:v>
      </x:c>
      <x:c r="C11" s="23" t="n">
        <x:v>0.5</x:v>
      </x:c>
      <x:c r="D11" s="21" t="str">
        <x:v>Buena oportunidad de combo y venta por valor percibido.</x:v>
      </x:c>
    </x:row>
    <x:row r="12">
      <x:c r="A12" s="21" t="str">
        <x:v>Soldadoras / Accesorios</x:v>
      </x:c>
      <x:c r="B12" s="23" t="n">
        <x:v>0.22</x:v>
      </x:c>
      <x:c r="C12" s="23" t="n">
        <x:v>0.4</x:v>
      </x:c>
      <x:c r="D12" s="21" t="str">
        <x:v>Ticket medio/alto: cuidar competitividad.</x:v>
      </x:c>
    </x:row>
    <x:row r="13">
      <x:c r="A13" s="21" t="str">
        <x:v>Compresores y Neumática</x:v>
      </x:c>
      <x:c r="B13" s="23" t="n">
        <x:v>0.22</x:v>
      </x:c>
      <x:c r="C13" s="23" t="n">
        <x:v>0.42</x:v>
      </x:c>
      <x:c r="D13" s="21" t="str">
        <x:v>Equipos de taller: margen moderado.</x:v>
      </x:c>
    </x:row>
    <x:row r="14">
      <x:c r="A14" s="21" t="str">
        <x:v>Carpintería y Madera</x:v>
      </x:c>
      <x:c r="B14" s="23" t="n">
        <x:v>0.25</x:v>
      </x:c>
      <x:c r="C14" s="23" t="n">
        <x:v>0.45</x:v>
      </x:c>
      <x:c r="D14" s="21" t="str">
        <x:v>Familia técnica con venta por aplicación.</x:v>
      </x:c>
    </x:row>
    <x:row r="15">
      <x:c r="A15" s="21" t="str">
        <x:v>Jardinería / Camping / Exterior</x:v>
      </x:c>
      <x:c r="B15" s="23" t="n">
        <x:v>0.25</x:v>
      </x:c>
      <x:c r="C15" s="23" t="n">
        <x:v>0.45</x:v>
      </x:c>
      <x:c r="D15" s="21" t="str">
        <x:v>Estacionalidad: reforzar promociones por temporada.</x:v>
      </x:c>
    </x:row>
    <x:row r="16">
      <x:c r="A16" s="21" t="str">
        <x:v>Accesorios / Consumibles</x:v>
      </x:c>
      <x:c r="B16" s="23" t="n">
        <x:v>0.35</x:v>
      </x:c>
      <x:c r="C16" s="23" t="n">
        <x:v>0.6</x:v>
      </x:c>
      <x:c r="D16" s="21" t="str">
        <x:v>Bajo ticket y alta rotación: margen mayor.</x:v>
      </x:c>
    </x:row>
    <x:row r="17">
      <x:c r="A17" s="21" t="str">
        <x:v>Generadores / Bomba de Agua</x:v>
      </x:c>
      <x:c r="B17" s="23" t="n">
        <x:v>0.18</x:v>
      </x:c>
      <x:c r="C17" s="23" t="n">
        <x:v>0.35</x:v>
      </x:c>
      <x:c r="D17" s="21" t="str">
        <x:v>Ticket alto: margen más ajustado para vender.</x:v>
      </x:c>
    </x:row>
    <x:row r="18">
      <x:c r="A18" s="21" t="str">
        <x:v>Estética y Accesorios Automotor</x:v>
      </x:c>
      <x:c r="B18" s="23" t="n">
        <x:v>0.3</x:v>
      </x:c>
      <x:c r="C18" s="23" t="n">
        <x:v>0.55</x:v>
      </x:c>
      <x:c r="D18" s="21" t="str">
        <x:v>Canal detailing/taller: buena venta cruzada.</x:v>
      </x:c>
    </x:row>
    <x:row r="19">
      <x:c r="A19" s="21" t="str">
        <x:v>Y Más Herramientas</x:v>
      </x:c>
      <x:c r="B19" s="23" t="n">
        <x:v>0.25</x:v>
      </x:c>
      <x:c r="C19" s="23" t="n">
        <x:v>0.45</x:v>
      </x:c>
      <x:c r="D19" s="21" t="str">
        <x:v>Categoría general y productos especiales.</x:v>
      </x:c>
    </x:row>
    <x:row r="20">
      <x:c r="A20" s="21"/>
      <x:c r="B20" s="23"/>
      <x:c r="C20" s="23"/>
      <x:c r="D20" s="21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38" hidden="0" customWidth="1"/>
    <x:col min="5" max="5" width="60" hidden="0" customWidth="1"/>
    <x:col min="6" max="6" width="15" hidden="0" customWidth="1"/>
    <x:col min="7" max="7" width="14" hidden="0" customWidth="1"/>
    <x:col min="8" max="8" width="18" hidden="0" customWidth="1"/>
    <x:col min="9" max="9" width="14" hidden="0" customWidth="1"/>
    <x:col min="10" max="10" width="18" hidden="0" customWidth="1"/>
    <x:col min="11" max="11" width="20" hidden="0" customWidth="1"/>
    <x:col min="12" max="12" width="12" hidden="0" customWidth="1"/>
    <x:col min="13" max="13" width="14" hidden="0" customWidth="1"/>
    <x:col min="14" max="14" width="14" hidden="0" customWidth="1"/>
    <x:col min="15" max="15" width="12" hidden="0" customWidth="1"/>
    <x:col min="16" max="16" width="42" hidden="0" customWidth="1"/>
    <x:col min="17" max="17" width="45" hidden="0" customWidth="1"/>
  </x:cols>
  <x:sheetData>
    <x:row r="1">
      <x:c r="A1" s="38" t="str">
        <x:v>ID</x:v>
      </x:c>
      <x:c r="B1" s="38" t="str">
        <x:v>Categoría</x:v>
      </x:c>
      <x:c r="C1" s="38" t="str">
        <x:v>Código</x:v>
      </x:c>
      <x:c r="D1" s="38" t="str">
        <x:v>Producto</x:v>
      </x:c>
      <x:c r="E1" s="38" t="str">
        <x:v>Detalle comercial</x:v>
      </x:c>
      <x:c r="F1" s="38" t="str">
        <x:v>Precio compra</x:v>
      </x:c>
      <x:c r="G1" s="38" t="str">
        <x:v>Margen mayorista</x:v>
      </x:c>
      <x:c r="H1" s="38" t="str">
        <x:v>Precio mayorista sugerido</x:v>
      </x:c>
      <x:c r="I1" s="38" t="str">
        <x:v>Margen minorista</x:v>
      </x:c>
      <x:c r="J1" s="38" t="str">
        <x:v>Precio minorista sugerido</x:v>
      </x:c>
      <x:c r="K1" s="38" t="str">
        <x:v>Precio promo transferencia</x:v>
      </x:c>
      <x:c r="L1" s="38" t="str">
        <x:v>Stock</x:v>
      </x:c>
      <x:c r="M1" s="38" t="str">
        <x:v>Unidad venta</x:v>
      </x:c>
      <x:c r="N1" s="38" t="str">
        <x:v>Estado</x:v>
      </x:c>
      <x:c r="O1" s="38" t="str">
        <x:v>Página PDF</x:v>
      </x:c>
      <x:c r="P1" s="38" t="str">
        <x:v>Observaciones</x:v>
      </x:c>
      <x:c r="Q1" s="38" t="str">
        <x:v>Título original OCR</x:v>
      </x:c>
    </x:row>
    <x:row r="2">
      <x:c r="A2" s="21" t="n">
        <x:v>1</x:v>
      </x:c>
      <x:c r="B2" s="21" t="str">
        <x:v>Amoladoras y Corte</x:v>
      </x:c>
      <x:c r="C2" s="21" t="str">
        <x:v>AB-550</x:v>
      </x:c>
      <x:c r="D2" s="21" t="str">
        <x:v>AMOLADORA DE BANCO 550W</x:v>
      </x:c>
      <x:c r="E2" s="21" t="str">
        <x:v>Producto orientado a corte, desbaste y terminación. Recomendado para metal, obra y mantenimiento general.</x:v>
      </x:c>
      <x:c r="F2" s="40" t="n">
        <x:v>89238</x:v>
      </x:c>
      <x:c r="G2" s="23" t="n">
        <x:f>IFERROR(VLOOKUP(B2,Configuracion!$A$9:$C$19,2,FALSE),Configuracion!$B$5)</x:f>
        <x:v>0.25</x:v>
      </x:c>
      <x:c r="H2" s="22" t="n">
        <x:f>ROUNDUP(F2*(1+G2)/Configuracion!$B$3,0)*Configuracion!$B$3</x:f>
        <x:v>111600</x:v>
      </x:c>
      <x:c r="I2" s="23" t="n">
        <x:f>IFERROR(VLOOKUP(B2,Configuracion!$A$9:$C$19,3,FALSE),Configuracion!$C$5)</x:f>
        <x:v>0.45</x:v>
      </x:c>
      <x:c r="J2" s="22" t="n">
        <x:f>ROUNDUP(F2*(1+I2)/Configuracion!$B$3,0)*Configuracion!$B$3</x:f>
        <x:v>129400</x:v>
      </x:c>
      <x:c r="K2" s="22" t="n">
        <x:f>ROUNDUP(J2*(1-Configuracion!$B$4)/Configuracion!$B$3,0)*Configuracion!$B$3</x:f>
        <x:v>123000</x:v>
      </x:c>
      <x:c r="L2" s="21" t="str"/>
      <x:c r="M2" s="21" t="str">
        <x:v>Unidad</x:v>
      </x:c>
      <x:c r="N2" s="21" t="str">
        <x:v>OK</x:v>
      </x:c>
      <x:c r="O2" s="21" t="n">
        <x:v>2</x:v>
      </x:c>
      <x:c r="P2" s="21" t="str">
        <x:v>Extraído del PDF.</x:v>
      </x:c>
      <x:c r="Q2" s="21" t="str">
        <x:v>AB-550 // AMOLADORA DE BANCO 550W</x:v>
      </x:c>
    </x:row>
    <x:row r="3">
      <x:c r="A3" s="21" t="n">
        <x:v>2</x:v>
      </x:c>
      <x:c r="B3" s="21" t="str">
        <x:v>Amoladoras y Corte</x:v>
      </x:c>
      <x:c r="C3" s="21" t="str">
        <x:v>L-820</x:v>
      </x:c>
      <x:c r="D3" s="21" t="str">
        <x:v>AMOLADORA ANGULAR 720w</x:v>
      </x:c>
      <x:c r="E3" s="21" t="str">
        <x:v>Producto orientado a corte, desbaste y terminación. Recomendado para metal, obra y mantenimiento general.</x:v>
      </x:c>
      <x:c r="F3" s="40" t="n">
        <x:v>38940</x:v>
      </x:c>
      <x:c r="G3" s="23" t="n">
        <x:f>IFERROR(VLOOKUP(B3,Configuracion!$A$9:$C$19,2,FALSE),Configuracion!$B$5)</x:f>
        <x:v>0.25</x:v>
      </x:c>
      <x:c r="H3" s="22" t="n">
        <x:f>ROUNDUP(F3*(1+G3)/Configuracion!$B$3,0)*Configuracion!$B$3</x:f>
        <x:v>48700</x:v>
      </x:c>
      <x:c r="I3" s="23" t="n">
        <x:f>IFERROR(VLOOKUP(B3,Configuracion!$A$9:$C$19,3,FALSE),Configuracion!$C$5)</x:f>
        <x:v>0.45</x:v>
      </x:c>
      <x:c r="J3" s="22" t="n">
        <x:f>ROUNDUP(F3*(1+I3)/Configuracion!$B$3,0)*Configuracion!$B$3</x:f>
        <x:v>56500</x:v>
      </x:c>
      <x:c r="K3" s="22" t="n">
        <x:f>ROUNDUP(J3*(1-Configuracion!$B$4)/Configuracion!$B$3,0)*Configuracion!$B$3</x:f>
        <x:v>53700</x:v>
      </x:c>
      <x:c r="L3" s="21" t="str"/>
      <x:c r="M3" s="21" t="str">
        <x:v>Unidad</x:v>
      </x:c>
      <x:c r="N3" s="21" t="str">
        <x:v>OK</x:v>
      </x:c>
      <x:c r="O3" s="21" t="n">
        <x:v>3</x:v>
      </x:c>
      <x:c r="P3" s="21" t="str">
        <x:v>Extraído del PDF.</x:v>
      </x:c>
      <x:c r="Q3" s="21" t="str">
        <x:v>L-820 AMOLADORA ANGULAR 720w</x:v>
      </x:c>
    </x:row>
    <x:row r="4">
      <x:c r="A4" s="21" t="n">
        <x:v>3</x:v>
      </x:c>
      <x:c r="B4" s="21" t="str">
        <x:v>Amoladoras y Corte</x:v>
      </x:c>
      <x:c r="C4" s="21" t="str">
        <x:v>ATG18-7</x:v>
      </x:c>
      <x:c r="D4" s="21" t="str">
        <x:v>SET DE HERRAMIENTAS A BATERÍA 18V (TALADRO + AMOLADORA)</x:v>
      </x:c>
      <x:c r="E4" s="21" t="str">
        <x:v>Equipo de alta rotación para obra, taller y mantenimiento. Ideal para perforación, fijación y trabajos de uso intensivo según el modelo.</x:v>
      </x:c>
      <x:c r="F4" s="40" t="n">
        <x:v>199000</x:v>
      </x:c>
      <x:c r="G4" s="23" t="n">
        <x:f>IFERROR(VLOOKUP(B4,Configuracion!$A$9:$C$19,2,FALSE),Configuracion!$B$5)</x:f>
        <x:v>0.25</x:v>
      </x:c>
      <x:c r="H4" s="22" t="n">
        <x:f>ROUNDUP(F4*(1+G4)/Configuracion!$B$3,0)*Configuracion!$B$3</x:f>
        <x:v>248800</x:v>
      </x:c>
      <x:c r="I4" s="23" t="n">
        <x:f>IFERROR(VLOOKUP(B4,Configuracion!$A$9:$C$19,3,FALSE),Configuracion!$C$5)</x:f>
        <x:v>0.45</x:v>
      </x:c>
      <x:c r="J4" s="22" t="n">
        <x:f>ROUNDUP(F4*(1+I4)/Configuracion!$B$3,0)*Configuracion!$B$3</x:f>
        <x:v>288600</x:v>
      </x:c>
      <x:c r="K4" s="22" t="n">
        <x:f>ROUNDUP(J4*(1-Configuracion!$B$4)/Configuracion!$B$3,0)*Configuracion!$B$3</x:f>
        <x:v>274200</x:v>
      </x:c>
      <x:c r="L4" s="21" t="str"/>
      <x:c r="M4" s="21" t="str">
        <x:v>Unidad</x:v>
      </x:c>
      <x:c r="N4" s="21" t="str">
        <x:v>Revisar OCR</x:v>
      </x:c>
      <x:c r="O4" s="21" t="n">
        <x:v>3</x:v>
      </x:c>
      <x:c r="P4" s="21" t="str">
        <x:v>Extraído por OCR del PDF; revisar imagen si el código o texto aparece con dudas.</x:v>
      </x:c>
      <x:c r="Q4" s="21" t="str">
        <x:v>ATG18-7 // SET DE HERRAMIENTAS A BATERÍA 18V (TALADRO + AMOLADORA)</x:v>
      </x:c>
    </x:row>
    <x:row r="5">
      <x:c r="A5" s="21" t="n">
        <x:v>4</x:v>
      </x:c>
      <x:c r="B5" s="21" t="str">
        <x:v>Amoladoras y Corte</x:v>
      </x:c>
      <x:c r="C5" s="21" t="str">
        <x:v>AML1300B-8</x:v>
      </x:c>
      <x:c r="D5" s="21" t="str">
        <x:v>AMOLADORA ANGULAR 115 MM 1300</x:v>
      </x:c>
      <x:c r="E5" s="21" t="str">
        <x:v>Producto orientado a corte, desbaste y terminación. Recomendado para metal, obra y mantenimiento general.</x:v>
      </x:c>
      <x:c r="F5" s="40" t="n">
        <x:v>69676.2</x:v>
      </x:c>
      <x:c r="G5" s="23" t="n">
        <x:f>IFERROR(VLOOKUP(B5,Configuracion!$A$9:$C$19,2,FALSE),Configuracion!$B$5)</x:f>
        <x:v>0.25</x:v>
      </x:c>
      <x:c r="H5" s="22" t="n">
        <x:f>ROUNDUP(F5*(1+G5)/Configuracion!$B$3,0)*Configuracion!$B$3</x:f>
        <x:v>87100</x:v>
      </x:c>
      <x:c r="I5" s="23" t="n">
        <x:f>IFERROR(VLOOKUP(B5,Configuracion!$A$9:$C$19,3,FALSE),Configuracion!$C$5)</x:f>
        <x:v>0.45</x:v>
      </x:c>
      <x:c r="J5" s="22" t="n">
        <x:f>ROUNDUP(F5*(1+I5)/Configuracion!$B$3,0)*Configuracion!$B$3</x:f>
        <x:v>101100</x:v>
      </x:c>
      <x:c r="K5" s="22" t="n">
        <x:f>ROUNDUP(J5*(1-Configuracion!$B$4)/Configuracion!$B$3,0)*Configuracion!$B$3</x:f>
        <x:v>96100</x:v>
      </x:c>
      <x:c r="L5" s="21" t="str"/>
      <x:c r="M5" s="21" t="str">
        <x:v>Unidad</x:v>
      </x:c>
      <x:c r="N5" s="21" t="str">
        <x:v>Revisar OCR</x:v>
      </x:c>
      <x:c r="O5" s="21" t="n">
        <x:v>4</x:v>
      </x:c>
      <x:c r="P5" s="21" t="str">
        <x:v>Extraído por OCR del PDF; revisar imagen si el código o texto aparece con dudas.</x:v>
      </x:c>
      <x:c r="Q5" s="21" t="str">
        <x:v>AML1300B-8 AMOLADORA ANGULAR 115 MM 1300</x:v>
      </x:c>
    </x:row>
    <x:row r="6">
      <x:c r="A6" s="21" t="n">
        <x:v>5</x:v>
      </x:c>
      <x:c r="B6" s="21" t="str">
        <x:v>Amoladoras y Corte</x:v>
      </x:c>
      <x:c r="C6" s="21" t="str">
        <x:v>AML2200-8</x:v>
      </x:c>
      <x:c r="D6" s="21" t="str">
        <x:v>AMOLADORA ANGULAR 180MM 2200W LUSQTOFF</x:v>
      </x:c>
      <x:c r="E6" s="21" t="str">
        <x:v>Producto orientado a corte, desbaste y terminación. Recomendado para metal, obra y mantenimiento general.</x:v>
      </x:c>
      <x:c r="F6" s="40" t="n">
        <x:v>186589.71</x:v>
      </x:c>
      <x:c r="G6" s="23" t="n">
        <x:f>IFERROR(VLOOKUP(B6,Configuracion!$A$9:$C$19,2,FALSE),Configuracion!$B$5)</x:f>
        <x:v>0.25</x:v>
      </x:c>
      <x:c r="H6" s="22" t="n">
        <x:f>ROUNDUP(F6*(1+G6)/Configuracion!$B$3,0)*Configuracion!$B$3</x:f>
        <x:v>233300</x:v>
      </x:c>
      <x:c r="I6" s="23" t="n">
        <x:f>IFERROR(VLOOKUP(B6,Configuracion!$A$9:$C$19,3,FALSE),Configuracion!$C$5)</x:f>
        <x:v>0.45</x:v>
      </x:c>
      <x:c r="J6" s="22" t="n">
        <x:f>ROUNDUP(F6*(1+I6)/Configuracion!$B$3,0)*Configuracion!$B$3</x:f>
        <x:v>270600</x:v>
      </x:c>
      <x:c r="K6" s="22" t="n">
        <x:f>ROUNDUP(J6*(1-Configuracion!$B$4)/Configuracion!$B$3,0)*Configuracion!$B$3</x:f>
        <x:v>257100</x:v>
      </x:c>
      <x:c r="L6" s="21" t="str"/>
      <x:c r="M6" s="21" t="str">
        <x:v>Unidad</x:v>
      </x:c>
      <x:c r="N6" s="21" t="str">
        <x:v>Revisar OCR</x:v>
      </x:c>
      <x:c r="O6" s="21" t="n">
        <x:v>4</x:v>
      </x:c>
      <x:c r="P6" s="21" t="str">
        <x:v>Extraído por OCR del PDF; revisar imagen si el código o texto aparece con dudas.</x:v>
      </x:c>
      <x:c r="Q6" s="21" t="str">
        <x:v>AML2200-8 - AMOLADORA ANGULAR 180MM 2200W LUSQTOFF</x:v>
      </x:c>
    </x:row>
    <x:row r="7">
      <x:c r="A7" s="21" t="n">
        <x:v>6</x:v>
      </x:c>
      <x:c r="B7" s="21" t="str">
        <x:v>Amoladoras y Corte</x:v>
      </x:c>
      <x:c r="C7" s="21" t="str">
        <x:v>AML850-9</x:v>
      </x:c>
      <x:c r="D7" s="21" t="str">
        <x:v>AMOLADORA ANGULAR 850W</x:v>
      </x:c>
      <x:c r="E7" s="21" t="str">
        <x:v>Producto orientado a corte, desbaste y terminación. Recomendado para metal, obra y mantenimiento general.</x:v>
      </x:c>
      <x:c r="F7" s="40" t="n">
        <x:v>43548.4</x:v>
      </x:c>
      <x:c r="G7" s="23" t="n">
        <x:f>IFERROR(VLOOKUP(B7,Configuracion!$A$9:$C$19,2,FALSE),Configuracion!$B$5)</x:f>
        <x:v>0.25</x:v>
      </x:c>
      <x:c r="H7" s="22" t="n">
        <x:f>ROUNDUP(F7*(1+G7)/Configuracion!$B$3,0)*Configuracion!$B$3</x:f>
        <x:v>54500</x:v>
      </x:c>
      <x:c r="I7" s="23" t="n">
        <x:f>IFERROR(VLOOKUP(B7,Configuracion!$A$9:$C$19,3,FALSE),Configuracion!$C$5)</x:f>
        <x:v>0.45</x:v>
      </x:c>
      <x:c r="J7" s="22" t="n">
        <x:f>ROUNDUP(F7*(1+I7)/Configuracion!$B$3,0)*Configuracion!$B$3</x:f>
        <x:v>63200</x:v>
      </x:c>
      <x:c r="K7" s="22" t="n">
        <x:f>ROUNDUP(J7*(1-Configuracion!$B$4)/Configuracion!$B$3,0)*Configuracion!$B$3</x:f>
        <x:v>60100</x:v>
      </x:c>
      <x:c r="L7" s="21" t="str"/>
      <x:c r="M7" s="21" t="str">
        <x:v>Unidad</x:v>
      </x:c>
      <x:c r="N7" s="21" t="str">
        <x:v>Revisar OCR</x:v>
      </x:c>
      <x:c r="O7" s="21" t="n">
        <x:v>4</x:v>
      </x:c>
      <x:c r="P7" s="21" t="str">
        <x:v>Extraído por OCR del PDF; revisar imagen si el código o texto aparece con dudas.</x:v>
      </x:c>
      <x:c r="Q7" s="21" t="str">
        <x:v>AML850-9 AMOLADORA ANGULAR 850W</x:v>
      </x:c>
    </x:row>
    <x:row r="8">
      <x:c r="A8" s="21" t="n">
        <x:v>7</x:v>
      </x:c>
      <x:c r="B8" s="21" t="str">
        <x:v>Taladros / 220V / Batería / Accesorios</x:v>
      </x:c>
      <x:c r="C8" s="21" t="str">
        <x:v>TIL23-8KB</x:v>
      </x:c>
      <x:c r="D8" s="21" t="str">
        <x:v>TALADRO ATORNILLADOR 12v</x:v>
      </x:c>
      <x:c r="E8" s="21" t="str">
        <x:v>Equipo de alta rotación para obra, taller y mantenimiento. Ideal para perforación, fijación y trabajos de uso intensivo según el modelo.</x:v>
      </x:c>
      <x:c r="F8" s="40" t="n">
        <x:v>87395</x:v>
      </x:c>
      <x:c r="G8" s="23" t="n">
        <x:f>IFERROR(VLOOKUP(B8,Configuracion!$A$9:$C$19,2,FALSE),Configuracion!$B$5)</x:f>
        <x:v>0.25</x:v>
      </x:c>
      <x:c r="H8" s="22" t="n">
        <x:f>ROUNDUP(F8*(1+G8)/Configuracion!$B$3,0)*Configuracion!$B$3</x:f>
        <x:v>109300</x:v>
      </x:c>
      <x:c r="I8" s="23" t="n">
        <x:f>IFERROR(VLOOKUP(B8,Configuracion!$A$9:$C$19,3,FALSE),Configuracion!$C$5)</x:f>
        <x:v>0.45</x:v>
      </x:c>
      <x:c r="J8" s="22" t="n">
        <x:f>ROUNDUP(F8*(1+I8)/Configuracion!$B$3,0)*Configuracion!$B$3</x:f>
        <x:v>126800</x:v>
      </x:c>
      <x:c r="K8" s="22" t="n">
        <x:f>ROUNDUP(J8*(1-Configuracion!$B$4)/Configuracion!$B$3,0)*Configuracion!$B$3</x:f>
        <x:v>120500</x:v>
      </x:c>
      <x:c r="L8" s="21" t="str"/>
      <x:c r="M8" s="21" t="str">
        <x:v>Unidad</x:v>
      </x:c>
      <x:c r="N8" s="21" t="str">
        <x:v>OK</x:v>
      </x:c>
      <x:c r="O8" s="21" t="n">
        <x:v>5</x:v>
      </x:c>
      <x:c r="P8" s="21" t="str">
        <x:v>Extraído del PDF.</x:v>
      </x:c>
      <x:c r="Q8" s="21" t="str">
        <x:v>TIL23-8KB TALADRO ATORNILLADOR 12v</x:v>
      </x:c>
    </x:row>
    <x:row r="9">
      <x:c r="A9" s="21" t="n">
        <x:v>8</x:v>
      </x:c>
      <x:c r="B9" s="21" t="str">
        <x:v>Taladros / 220V / Batería / Accesorios</x:v>
      </x:c>
      <x:c r="C9" s="21" t="str">
        <x:v>TAL12-8A</x:v>
      </x:c>
      <x:c r="D9" s="21" t="str">
        <x:v>taladro atornillador inalámbrico 12 v</x:v>
      </x:c>
      <x:c r="E9" s="21" t="str">
        <x:v>Equipo de alta rotación para obra, taller y mantenimiento. Ideal para perforación, fijación y trabajos de uso intensivo según el modelo.</x:v>
      </x:c>
      <x:c r="F9" s="40" t="n">
        <x:v>89341.63</x:v>
      </x:c>
      <x:c r="G9" s="23" t="n">
        <x:f>IFERROR(VLOOKUP(B9,Configuracion!$A$9:$C$19,2,FALSE),Configuracion!$B$5)</x:f>
        <x:v>0.25</x:v>
      </x:c>
      <x:c r="H9" s="22" t="n">
        <x:f>ROUNDUP(F9*(1+G9)/Configuracion!$B$3,0)*Configuracion!$B$3</x:f>
        <x:v>111700</x:v>
      </x:c>
      <x:c r="I9" s="23" t="n">
        <x:f>IFERROR(VLOOKUP(B9,Configuracion!$A$9:$C$19,3,FALSE),Configuracion!$C$5)</x:f>
        <x:v>0.45</x:v>
      </x:c>
      <x:c r="J9" s="22" t="n">
        <x:f>ROUNDUP(F9*(1+I9)/Configuracion!$B$3,0)*Configuracion!$B$3</x:f>
        <x:v>129600</x:v>
      </x:c>
      <x:c r="K9" s="22" t="n">
        <x:f>ROUNDUP(J9*(1-Configuracion!$B$4)/Configuracion!$B$3,0)*Configuracion!$B$3</x:f>
        <x:v>123200</x:v>
      </x:c>
      <x:c r="L9" s="21" t="str"/>
      <x:c r="M9" s="21" t="str">
        <x:v>Unidad</x:v>
      </x:c>
      <x:c r="N9" s="21" t="str">
        <x:v>OK</x:v>
      </x:c>
      <x:c r="O9" s="21" t="n">
        <x:v>5</x:v>
      </x:c>
      <x:c r="P9" s="21" t="str">
        <x:v>Extraído del PDF.</x:v>
      </x:c>
      <x:c r="Q9" s="21" t="str">
        <x:v>Tal12-8A taladro atornillador inalámbrico 12 v</x:v>
      </x:c>
    </x:row>
    <x:row r="10">
      <x:c r="A10" s="21" t="n">
        <x:v>9</x:v>
      </x:c>
      <x:c r="B10" s="21" t="str">
        <x:v>Taladros / 220V / Batería / Accesorios</x:v>
      </x:c>
      <x:c r="C10" s="21" t="str">
        <x:v>ATL710-8</x:v>
      </x:c>
      <x:c r="D10" s="21" t="str">
        <x:v>ATORNILLADOR CON TOPE</x:v>
      </x:c>
      <x:c r="E10" s="21" t="str">
        <x:v>Equipo de alta rotación para obra, taller y mantenimiento. Ideal para perforación, fijación y trabajos de uso intensivo según el modelo.</x:v>
      </x:c>
      <x:c r="F10" s="40" t="n">
        <x:v>77880</x:v>
      </x:c>
      <x:c r="G10" s="23" t="n">
        <x:f>IFERROR(VLOOKUP(B10,Configuracion!$A$9:$C$19,2,FALSE),Configuracion!$B$5)</x:f>
        <x:v>0.25</x:v>
      </x:c>
      <x:c r="H10" s="22" t="n">
        <x:f>ROUNDUP(F10*(1+G10)/Configuracion!$B$3,0)*Configuracion!$B$3</x:f>
        <x:v>97400</x:v>
      </x:c>
      <x:c r="I10" s="23" t="n">
        <x:f>IFERROR(VLOOKUP(B10,Configuracion!$A$9:$C$19,3,FALSE),Configuracion!$C$5)</x:f>
        <x:v>0.45</x:v>
      </x:c>
      <x:c r="J10" s="22" t="n">
        <x:f>ROUNDUP(F10*(1+I10)/Configuracion!$B$3,0)*Configuracion!$B$3</x:f>
        <x:v>113000</x:v>
      </x:c>
      <x:c r="K10" s="22" t="n">
        <x:f>ROUNDUP(J10*(1-Configuracion!$B$4)/Configuracion!$B$3,0)*Configuracion!$B$3</x:f>
        <x:v>107400</x:v>
      </x:c>
      <x:c r="L10" s="21" t="str"/>
      <x:c r="M10" s="21" t="str">
        <x:v>Unidad</x:v>
      </x:c>
      <x:c r="N10" s="21" t="str">
        <x:v>Revisar OCR</x:v>
      </x:c>
      <x:c r="O10" s="21" t="n">
        <x:v>6</x:v>
      </x:c>
      <x:c r="P10" s="21" t="str">
        <x:v>Extraído por OCR del PDF; revisar imagen si el código o texto aparece con dudas.</x:v>
      </x:c>
      <x:c r="Q10" s="21" t="str">
        <x:v>ATL710-8 // ATORNILLADOR CON TOPE</x:v>
      </x:c>
    </x:row>
    <x:row r="11">
      <x:c r="A11" s="21" t="n">
        <x:v>10</x:v>
      </x:c>
      <x:c r="B11" s="21" t="str">
        <x:v>Taladros / 220V / Batería / Accesorios</x:v>
      </x:c>
      <x:c r="C11" s="21" t="str">
        <x:v>ATL18-9B</x:v>
      </x:c>
      <x:c r="D11" s="21" t="str">
        <x:v>TALADRO 13 MM EN KIT CON 2 BATERIAS, VALIJA Y MECHAS</x:v>
      </x:c>
      <x:c r="E11" s="21" t="str">
        <x:v>Equipo de alta rotación para obra, taller y mantenimiento. Ideal para perforación, fijación y trabajos de uso intensivo según el modelo.</x:v>
      </x:c>
      <x:c r="F11" s="40" t="n">
        <x:v>112954</x:v>
      </x:c>
      <x:c r="G11" s="23" t="n">
        <x:f>IFERROR(VLOOKUP(B11,Configuracion!$A$9:$C$19,2,FALSE),Configuracion!$B$5)</x:f>
        <x:v>0.25</x:v>
      </x:c>
      <x:c r="H11" s="22" t="n">
        <x:f>ROUNDUP(F11*(1+G11)/Configuracion!$B$3,0)*Configuracion!$B$3</x:f>
        <x:v>141200</x:v>
      </x:c>
      <x:c r="I11" s="23" t="n">
        <x:f>IFERROR(VLOOKUP(B11,Configuracion!$A$9:$C$19,3,FALSE),Configuracion!$C$5)</x:f>
        <x:v>0.45</x:v>
      </x:c>
      <x:c r="J11" s="22" t="n">
        <x:f>ROUNDUP(F11*(1+I11)/Configuracion!$B$3,0)*Configuracion!$B$3</x:f>
        <x:v>163800</x:v>
      </x:c>
      <x:c r="K11" s="22" t="n">
        <x:f>ROUNDUP(J11*(1-Configuracion!$B$4)/Configuracion!$B$3,0)*Configuracion!$B$3</x:f>
        <x:v>155700</x:v>
      </x:c>
      <x:c r="L11" s="21" t="str"/>
      <x:c r="M11" s="21" t="str">
        <x:v>Unidad</x:v>
      </x:c>
      <x:c r="N11" s="21" t="str">
        <x:v>Revisar OCR</x:v>
      </x:c>
      <x:c r="O11" s="21" t="n">
        <x:v>6</x:v>
      </x:c>
      <x:c r="P11" s="21" t="str">
        <x:v>Extraído por OCR del PDF; revisar imagen si el código o texto aparece con dudas.</x:v>
      </x:c>
      <x:c r="Q11" s="21" t="str">
        <x:v>ATL18-9B // TALADRO 13 MM EN KIT CON 2 BATERIAS, VALIJA Y MECHAS</x:v>
      </x:c>
    </x:row>
    <x:row r="12">
      <x:c r="A12" s="21" t="n">
        <x:v>11</x:v>
      </x:c>
      <x:c r="B12" s="21" t="str">
        <x:v>Taladros / 220V / Batería / Accesorios</x:v>
      </x:c>
      <x:c r="C12" s="21" t="str">
        <x:v>TIL45-8BK</x:v>
      </x:c>
      <x:c r="D12" s="21" t="str">
        <x:v>TALADRO ATORNILLADOR PERCUTOR BRUSHLESS 13MM A BATERIA</x:v>
      </x:c>
      <x:c r="E12" s="21" t="str">
        <x:v>Equipo de alta rotación para obra, taller y mantenimiento. Ideal para perforación, fijación y trabajos de uso intensivo según el modelo.</x:v>
      </x:c>
      <x:c r="F12" s="40" t="n">
        <x:v>129607.51</x:v>
      </x:c>
      <x:c r="G12" s="23" t="n">
        <x:f>IFERROR(VLOOKUP(B12,Configuracion!$A$9:$C$19,2,FALSE),Configuracion!$B$5)</x:f>
        <x:v>0.25</x:v>
      </x:c>
      <x:c r="H12" s="22" t="n">
        <x:f>ROUNDUP(F12*(1+G12)/Configuracion!$B$3,0)*Configuracion!$B$3</x:f>
        <x:v>162100</x:v>
      </x:c>
      <x:c r="I12" s="23" t="n">
        <x:f>IFERROR(VLOOKUP(B12,Configuracion!$A$9:$C$19,3,FALSE),Configuracion!$C$5)</x:f>
        <x:v>0.45</x:v>
      </x:c>
      <x:c r="J12" s="22" t="n">
        <x:f>ROUNDUP(F12*(1+I12)/Configuracion!$B$3,0)*Configuracion!$B$3</x:f>
        <x:v>188000</x:v>
      </x:c>
      <x:c r="K12" s="22" t="n">
        <x:f>ROUNDUP(J12*(1-Configuracion!$B$4)/Configuracion!$B$3,0)*Configuracion!$B$3</x:f>
        <x:v>178600</x:v>
      </x:c>
      <x:c r="L12" s="21" t="str"/>
      <x:c r="M12" s="21" t="str">
        <x:v>Unidad</x:v>
      </x:c>
      <x:c r="N12" s="21" t="str">
        <x:v>Revisar OCR</x:v>
      </x:c>
      <x:c r="O12" s="21" t="n">
        <x:v>6</x:v>
      </x:c>
      <x:c r="P12" s="21" t="str">
        <x:v>Extraído por OCR del PDF; revisar imagen si el código o texto aparece con dudas.</x:v>
      </x:c>
      <x:c r="Q12" s="21" t="str">
        <x:v>TIL45-8BK TALADRO ATORNILLADOR PERCUTOR BRUSHLESS 13MM A BATERIA</x:v>
      </x:c>
    </x:row>
    <x:row r="13">
      <x:c r="A13" s="21" t="n">
        <x:v>12</x:v>
      </x:c>
      <x:c r="B13" s="21" t="str">
        <x:v>Taladros / 220V / Batería / Accesorios</x:v>
      </x:c>
      <x:c r="C13" s="21" t="str">
        <x:v>RML850-7</x:v>
      </x:c>
      <x:c r="D13" s="21" t="str">
        <x:v>Rotomartillo 800w</x:v>
      </x:c>
      <x:c r="E13" s="21" t="str">
        <x:v>Equipo de alta rotación para obra, taller y mantenimiento. Ideal para perforación, fijación y trabajos de uso intensivo según el modelo.</x:v>
      </x:c>
      <x:c r="F13" s="40" t="n">
        <x:v>68145.61</x:v>
      </x:c>
      <x:c r="G13" s="23" t="n">
        <x:f>IFERROR(VLOOKUP(B13,Configuracion!$A$9:$C$19,2,FALSE),Configuracion!$B$5)</x:f>
        <x:v>0.25</x:v>
      </x:c>
      <x:c r="H13" s="22" t="n">
        <x:f>ROUNDUP(F13*(1+G13)/Configuracion!$B$3,0)*Configuracion!$B$3</x:f>
        <x:v>85200</x:v>
      </x:c>
      <x:c r="I13" s="23" t="n">
        <x:f>IFERROR(VLOOKUP(B13,Configuracion!$A$9:$C$19,3,FALSE),Configuracion!$C$5)</x:f>
        <x:v>0.45</x:v>
      </x:c>
      <x:c r="J13" s="22" t="n">
        <x:f>ROUNDUP(F13*(1+I13)/Configuracion!$B$3,0)*Configuracion!$B$3</x:f>
        <x:v>98900</x:v>
      </x:c>
      <x:c r="K13" s="22" t="n">
        <x:f>ROUNDUP(J13*(1-Configuracion!$B$4)/Configuracion!$B$3,0)*Configuracion!$B$3</x:f>
        <x:v>94000</x:v>
      </x:c>
      <x:c r="L13" s="21" t="str"/>
      <x:c r="M13" s="21" t="str">
        <x:v>Unidad</x:v>
      </x:c>
      <x:c r="N13" s="21" t="str">
        <x:v>OK</x:v>
      </x:c>
      <x:c r="O13" s="21" t="n">
        <x:v>7</x:v>
      </x:c>
      <x:c r="P13" s="21" t="str">
        <x:v>Extraído del PDF.</x:v>
      </x:c>
      <x:c r="Q13" s="21" t="str">
        <x:v>RML850-7 Rotomartillo 800w</x:v>
      </x:c>
    </x:row>
    <x:row r="14">
      <x:c r="A14" s="21" t="n">
        <x:v>13</x:v>
      </x:c>
      <x:c r="B14" s="21" t="str">
        <x:v>Taladros / 220V / Batería / Accesorios</x:v>
      </x:c>
      <x:c r="C14" s="21" t="str">
        <x:v>TAGP12-7A</x:v>
      </x:c>
      <x:c r="D14" s="21" t="str">
        <x:v>TALADRO ATORNILLADOR 12V</x:v>
      </x:c>
      <x:c r="E14" s="21" t="str">
        <x:v>Equipo de alta rotación para obra, taller y mantenimiento. Ideal para perforación, fijación y trabajos de uso intensivo según el modelo.</x:v>
      </x:c>
      <x:c r="F14" s="40" t="n">
        <x:v>77528</x:v>
      </x:c>
      <x:c r="G14" s="23" t="n">
        <x:f>IFERROR(VLOOKUP(B14,Configuracion!$A$9:$C$19,2,FALSE),Configuracion!$B$5)</x:f>
        <x:v>0.25</x:v>
      </x:c>
      <x:c r="H14" s="22" t="n">
        <x:f>ROUNDUP(F14*(1+G14)/Configuracion!$B$3,0)*Configuracion!$B$3</x:f>
        <x:v>97000</x:v>
      </x:c>
      <x:c r="I14" s="23" t="n">
        <x:f>IFERROR(VLOOKUP(B14,Configuracion!$A$9:$C$19,3,FALSE),Configuracion!$C$5)</x:f>
        <x:v>0.45</x:v>
      </x:c>
      <x:c r="J14" s="22" t="n">
        <x:f>ROUNDUP(F14*(1+I14)/Configuracion!$B$3,0)*Configuracion!$B$3</x:f>
        <x:v>112500</x:v>
      </x:c>
      <x:c r="K14" s="22" t="n">
        <x:f>ROUNDUP(J14*(1-Configuracion!$B$4)/Configuracion!$B$3,0)*Configuracion!$B$3</x:f>
        <x:v>106900</x:v>
      </x:c>
      <x:c r="L14" s="21" t="str"/>
      <x:c r="M14" s="21" t="str">
        <x:v>Unidad</x:v>
      </x:c>
      <x:c r="N14" s="21" t="str">
        <x:v>Revisar OCR</x:v>
      </x:c>
      <x:c r="O14" s="21" t="n">
        <x:v>7</x:v>
      </x:c>
      <x:c r="P14" s="21" t="str">
        <x:v>Extraído por OCR del PDF; revisar imagen si el código o texto aparece con dudas.</x:v>
      </x:c>
      <x:c r="Q14" s="21" t="str">
        <x:v>TAGP12-7A // TALADRO ATORNILLADOR 12V</x:v>
      </x:c>
    </x:row>
    <x:row r="15">
      <x:c r="A15" s="21" t="n">
        <x:v>14</x:v>
      </x:c>
      <x:c r="B15" s="21" t="str">
        <x:v>Taladros / 220V / Batería / Accesorios</x:v>
      </x:c>
      <x:c r="C15" s="21" t="str">
        <x:v>L2130</x:v>
      </x:c>
      <x:c r="D15" s="21" t="str">
        <x:v>JUEGO DE BROCAS 25 PCS</x:v>
      </x:c>
      <x:c r="E15" s="21" t="str">
        <x:v>Herramienta o conjunto para organización y trabajo de taller. Producto práctico para mecánica, mantenimiento y uso profesional.</x:v>
      </x:c>
      <x:c r="F15" s="40" t="n">
        <x:v>73160.01</x:v>
      </x:c>
      <x:c r="G15" s="23" t="n">
        <x:f>IFERROR(VLOOKUP(B15,Configuracion!$A$9:$C$19,2,FALSE),Configuracion!$B$5)</x:f>
        <x:v>0.25</x:v>
      </x:c>
      <x:c r="H15" s="22" t="n">
        <x:f>ROUNDUP(F15*(1+G15)/Configuracion!$B$3,0)*Configuracion!$B$3</x:f>
        <x:v>91500</x:v>
      </x:c>
      <x:c r="I15" s="23" t="n">
        <x:f>IFERROR(VLOOKUP(B15,Configuracion!$A$9:$C$19,3,FALSE),Configuracion!$C$5)</x:f>
        <x:v>0.45</x:v>
      </x:c>
      <x:c r="J15" s="22" t="n">
        <x:f>ROUNDUP(F15*(1+I15)/Configuracion!$B$3,0)*Configuracion!$B$3</x:f>
        <x:v>106100</x:v>
      </x:c>
      <x:c r="K15" s="22" t="n">
        <x:f>ROUNDUP(J15*(1-Configuracion!$B$4)/Configuracion!$B$3,0)*Configuracion!$B$3</x:f>
        <x:v>100800</x:v>
      </x:c>
      <x:c r="L15" s="21" t="str"/>
      <x:c r="M15" s="21" t="str">
        <x:v>Unidad</x:v>
      </x:c>
      <x:c r="N15" s="21" t="str">
        <x:v>OK</x:v>
      </x:c>
      <x:c r="O15" s="21" t="n">
        <x:v>8</x:v>
      </x:c>
      <x:c r="P15" s="21" t="str">
        <x:v>Extraído del PDF.</x:v>
      </x:c>
      <x:c r="Q15" s="21" t="str">
        <x:v>L2130 - JUEGO DE BROCAS 25 PCS</x:v>
      </x:c>
    </x:row>
    <x:row r="16">
      <x:c r="A16" s="21" t="n">
        <x:v>15</x:v>
      </x:c>
      <x:c r="B16" s="21" t="str">
        <x:v>Taladros / 220V / Batería / Accesorios</x:v>
      </x:c>
      <x:c r="C16" s="21" t="str">
        <x:v>RML1050-8</x:v>
      </x:c>
      <x:c r="D16" s="21" t="str">
        <x:v>ROTOMARTILLO 1050 W</x:v>
      </x:c>
      <x:c r="E16" s="21" t="str">
        <x:v>Equipo de alta rotación para obra, taller y mantenimiento. Ideal para perforación, fijación y trabajos de uso intensivo según el modelo.</x:v>
      </x:c>
      <x:c r="F16" s="40" t="n">
        <x:v>121128.59</x:v>
      </x:c>
      <x:c r="G16" s="23" t="n">
        <x:f>IFERROR(VLOOKUP(B16,Configuracion!$A$9:$C$19,2,FALSE),Configuracion!$B$5)</x:f>
        <x:v>0.25</x:v>
      </x:c>
      <x:c r="H16" s="22" t="n">
        <x:f>ROUNDUP(F16*(1+G16)/Configuracion!$B$3,0)*Configuracion!$B$3</x:f>
        <x:v>151500</x:v>
      </x:c>
      <x:c r="I16" s="23" t="n">
        <x:f>IFERROR(VLOOKUP(B16,Configuracion!$A$9:$C$19,3,FALSE),Configuracion!$C$5)</x:f>
        <x:v>0.45</x:v>
      </x:c>
      <x:c r="J16" s="22" t="n">
        <x:f>ROUNDUP(F16*(1+I16)/Configuracion!$B$3,0)*Configuracion!$B$3</x:f>
        <x:v>175700</x:v>
      </x:c>
      <x:c r="K16" s="22" t="n">
        <x:f>ROUNDUP(J16*(1-Configuracion!$B$4)/Configuracion!$B$3,0)*Configuracion!$B$3</x:f>
        <x:v>167000</x:v>
      </x:c>
      <x:c r="L16" s="21" t="str"/>
      <x:c r="M16" s="21" t="str">
        <x:v>Unidad</x:v>
      </x:c>
      <x:c r="N16" s="21" t="str">
        <x:v>OK</x:v>
      </x:c>
      <x:c r="O16" s="21" t="n">
        <x:v>8</x:v>
      </x:c>
      <x:c r="P16" s="21" t="str">
        <x:v>Extraído del PDF.</x:v>
      </x:c>
      <x:c r="Q16" s="21" t="str">
        <x:v>RML1050-8 ROTOMARTILLO 1050 W</x:v>
      </x:c>
    </x:row>
    <x:row r="17">
      <x:c r="A17" s="21" t="n">
        <x:v>16</x:v>
      </x:c>
      <x:c r="B17" s="21" t="str">
        <x:v>Taladros / 220V / Batería / Accesorios</x:v>
      </x:c>
      <x:c r="C17" s="21" t="str">
        <x:v>RML4000-9BK</x:v>
      </x:c>
      <x:c r="D17" s="21" t="str">
        <x:v>ROTOMARTILLO INALAMBRICO SDS PLUS 2.5J</x:v>
      </x:c>
      <x:c r="E17" s="21" t="str">
        <x:v>Equipo de alta rotación para obra, taller y mantenimiento. Ideal para perforación, fijación y trabajos de uso intensivo según el modelo.</x:v>
      </x:c>
      <x:c r="F17" s="40" t="n">
        <x:v>135000</x:v>
      </x:c>
      <x:c r="G17" s="23" t="n">
        <x:f>IFERROR(VLOOKUP(B17,Configuracion!$A$9:$C$19,2,FALSE),Configuracion!$B$5)</x:f>
        <x:v>0.25</x:v>
      </x:c>
      <x:c r="H17" s="22" t="n">
        <x:f>ROUNDUP(F17*(1+G17)/Configuracion!$B$3,0)*Configuracion!$B$3</x:f>
        <x:v>168800</x:v>
      </x:c>
      <x:c r="I17" s="23" t="n">
        <x:f>IFERROR(VLOOKUP(B17,Configuracion!$A$9:$C$19,3,FALSE),Configuracion!$C$5)</x:f>
        <x:v>0.45</x:v>
      </x:c>
      <x:c r="J17" s="22" t="n">
        <x:f>ROUNDUP(F17*(1+I17)/Configuracion!$B$3,0)*Configuracion!$B$3</x:f>
        <x:v>195800</x:v>
      </x:c>
      <x:c r="K17" s="22" t="n">
        <x:f>ROUNDUP(J17*(1-Configuracion!$B$4)/Configuracion!$B$3,0)*Configuracion!$B$3</x:f>
        <x:v>186100</x:v>
      </x:c>
      <x:c r="L17" s="21" t="str"/>
      <x:c r="M17" s="21" t="str">
        <x:v>Unidad</x:v>
      </x:c>
      <x:c r="N17" s="21" t="str">
        <x:v>Revisar OCR</x:v>
      </x:c>
      <x:c r="O17" s="21" t="n">
        <x:v>8</x:v>
      </x:c>
      <x:c r="P17" s="21" t="str">
        <x:v>Extraído por OCR del PDF; revisar imagen si el código o texto aparece con dudas.</x:v>
      </x:c>
      <x:c r="Q17" s="21" t="str">
        <x:v>RML4000-9BK - ROTOMARTILLO INALAMBRICO SDS PLUS 2.5J</x:v>
      </x:c>
    </x:row>
    <x:row r="18">
      <x:c r="A18" s="21" t="n">
        <x:v>17</x:v>
      </x:c>
      <x:c r="B18" s="21" t="str">
        <x:v>Taladros / 220V / Batería / Accesorios</x:v>
      </x:c>
      <x:c r="C18" s="21" t="str">
        <x:v>JATL82-8</x:v>
      </x:c>
      <x:c r="D18" s="21" t="str">
        <x:v>JUEGO DE ACCESORIOS PARA TALADRO</x:v>
      </x:c>
      <x:c r="E18" s="21" t="str">
        <x:v>Equipo de alta rotación para obra, taller y mantenimiento. Ideal para perforación, fijación y trabajos de uso intensivo según el modelo.</x:v>
      </x:c>
      <x:c r="F18" s="40" t="n">
        <x:v>44157.36</x:v>
      </x:c>
      <x:c r="G18" s="23" t="n">
        <x:f>IFERROR(VLOOKUP(B18,Configuracion!$A$9:$C$19,2,FALSE),Configuracion!$B$5)</x:f>
        <x:v>0.25</x:v>
      </x:c>
      <x:c r="H18" s="22" t="n">
        <x:f>ROUNDUP(F18*(1+G18)/Configuracion!$B$3,0)*Configuracion!$B$3</x:f>
        <x:v>55200</x:v>
      </x:c>
      <x:c r="I18" s="23" t="n">
        <x:f>IFERROR(VLOOKUP(B18,Configuracion!$A$9:$C$19,3,FALSE),Configuracion!$C$5)</x:f>
        <x:v>0.45</x:v>
      </x:c>
      <x:c r="J18" s="22" t="n">
        <x:f>ROUNDUP(F18*(1+I18)/Configuracion!$B$3,0)*Configuracion!$B$3</x:f>
        <x:v>64100</x:v>
      </x:c>
      <x:c r="K18" s="22" t="n">
        <x:f>ROUNDUP(J18*(1-Configuracion!$B$4)/Configuracion!$B$3,0)*Configuracion!$B$3</x:f>
        <x:v>60900</x:v>
      </x:c>
      <x:c r="L18" s="21" t="str"/>
      <x:c r="M18" s="21" t="str">
        <x:v>Unidad</x:v>
      </x:c>
      <x:c r="N18" s="21" t="str">
        <x:v>Revisar OCR</x:v>
      </x:c>
      <x:c r="O18" s="21" t="n">
        <x:v>9</x:v>
      </x:c>
      <x:c r="P18" s="21" t="str">
        <x:v>Extraído por OCR del PDF; revisar imagen si el código o texto aparece con dudas.</x:v>
      </x:c>
      <x:c r="Q18" s="21" t="str">
        <x:v>JATL82-8 JUEGO DE ACCESORIOS PARA TALADRO</x:v>
      </x:c>
    </x:row>
    <x:row r="19">
      <x:c r="A19" s="21" t="n">
        <x:v>18</x:v>
      </x:c>
      <x:c r="B19" s="21" t="str">
        <x:v>Taladros / 220V / Batería / Accesorios</x:v>
      </x:c>
      <x:c r="C19" s="21" t="str">
        <x:v>JMPL100-8</x:v>
      </x:c>
      <x:c r="D19" s="21" t="str">
        <x:v>JUEGO DE MECHAS Y PUNTAS 100 PIEZAS</x:v>
      </x:c>
      <x:c r="E19" s="21" t="str">
        <x:v>Herramienta o conjunto para organización y trabajo de taller. Producto práctico para mecánica, mantenimiento y uso profesional.</x:v>
      </x:c>
      <x:c r="F19" s="40" t="n">
        <x:v>56788.17</x:v>
      </x:c>
      <x:c r="G19" s="23" t="n">
        <x:f>IFERROR(VLOOKUP(B19,Configuracion!$A$9:$C$19,2,FALSE),Configuracion!$B$5)</x:f>
        <x:v>0.25</x:v>
      </x:c>
      <x:c r="H19" s="22" t="n">
        <x:f>ROUNDUP(F19*(1+G19)/Configuracion!$B$3,0)*Configuracion!$B$3</x:f>
        <x:v>71000</x:v>
      </x:c>
      <x:c r="I19" s="23" t="n">
        <x:f>IFERROR(VLOOKUP(B19,Configuracion!$A$9:$C$19,3,FALSE),Configuracion!$C$5)</x:f>
        <x:v>0.45</x:v>
      </x:c>
      <x:c r="J19" s="22" t="n">
        <x:f>ROUNDUP(F19*(1+I19)/Configuracion!$B$3,0)*Configuracion!$B$3</x:f>
        <x:v>82400</x:v>
      </x:c>
      <x:c r="K19" s="22" t="n">
        <x:f>ROUNDUP(J19*(1-Configuracion!$B$4)/Configuracion!$B$3,0)*Configuracion!$B$3</x:f>
        <x:v>78300</x:v>
      </x:c>
      <x:c r="L19" s="21" t="str"/>
      <x:c r="M19" s="21" t="str">
        <x:v>Unidad</x:v>
      </x:c>
      <x:c r="N19" s="21" t="str">
        <x:v>OK</x:v>
      </x:c>
      <x:c r="O19" s="21" t="n">
        <x:v>9</x:v>
      </x:c>
      <x:c r="P19" s="21" t="str">
        <x:v>Extraído del PDF.</x:v>
      </x:c>
      <x:c r="Q19" s="21" t="str">
        <x:v>JMPL100-8 JUEGO DE MECHAS Y PUNTAS 100 PIEZAS</x:v>
      </x:c>
    </x:row>
    <x:row r="20">
      <x:c r="A20" s="21" t="n">
        <x:v>19</x:v>
      </x:c>
      <x:c r="B20" s="21" t="str">
        <x:v>Taladros / 220V / Batería / Accesorios</x:v>
      </x:c>
      <x:c r="C20" s="21" t="str">
        <x:v>11047</x:v>
      </x:c>
      <x:c r="D20" s="21" t="str">
        <x:v>JUEGO DE PUNTAS 40 PCS</x:v>
      </x:c>
      <x:c r="E20" s="21" t="str">
        <x:v>Herramienta o conjunto para organización y trabajo de taller. Producto práctico para mecánica, mantenimiento y uso profesional.</x:v>
      </x:c>
      <x:c r="F20" s="40" t="n">
        <x:v>47236.46</x:v>
      </x:c>
      <x:c r="G20" s="23" t="n">
        <x:f>IFERROR(VLOOKUP(B20,Configuracion!$A$9:$C$19,2,FALSE),Configuracion!$B$5)</x:f>
        <x:v>0.25</x:v>
      </x:c>
      <x:c r="H20" s="22" t="n">
        <x:f>ROUNDUP(F20*(1+G20)/Configuracion!$B$3,0)*Configuracion!$B$3</x:f>
        <x:v>59100</x:v>
      </x:c>
      <x:c r="I20" s="23" t="n">
        <x:f>IFERROR(VLOOKUP(B20,Configuracion!$A$9:$C$19,3,FALSE),Configuracion!$C$5)</x:f>
        <x:v>0.45</x:v>
      </x:c>
      <x:c r="J20" s="22" t="n">
        <x:f>ROUNDUP(F20*(1+I20)/Configuracion!$B$3,0)*Configuracion!$B$3</x:f>
        <x:v>68500</x:v>
      </x:c>
      <x:c r="K20" s="22" t="n">
        <x:f>ROUNDUP(J20*(1-Configuracion!$B$4)/Configuracion!$B$3,0)*Configuracion!$B$3</x:f>
        <x:v>65100</x:v>
      </x:c>
      <x:c r="L20" s="21" t="str"/>
      <x:c r="M20" s="21" t="str">
        <x:v>Unidad</x:v>
      </x:c>
      <x:c r="N20" s="21" t="str">
        <x:v>OK</x:v>
      </x:c>
      <x:c r="O20" s="21" t="n">
        <x:v>9</x:v>
      </x:c>
      <x:c r="P20" s="21" t="str">
        <x:v>Extraído del PDF.</x:v>
      </x:c>
      <x:c r="Q20" s="21" t="str">
        <x:v>11047 - JUEGO DE PUNTAS 40 PCS</x:v>
      </x:c>
    </x:row>
    <x:row r="21">
      <x:c r="A21" s="21" t="n">
        <x:v>20</x:v>
      </x:c>
      <x:c r="B21" s="21" t="str">
        <x:v>Taladros / 220V / Batería / Accesorios</x:v>
      </x:c>
      <x:c r="C21" s="21" t="str">
        <x:v>KATL-8</x:v>
      </x:c>
      <x:c r="D21" s="21" t="str">
        <x:v>KIT AMOLADORA 720W + TALADRO</x:v>
      </x:c>
      <x:c r="E21" s="21" t="str">
        <x:v>Equipo de alta rotación para obra, taller y mantenimiento. Ideal para perforación, fijación y trabajos de uso intensivo según el modelo.</x:v>
      </x:c>
      <x:c r="F21" s="40" t="n">
        <x:v>100596.19</x:v>
      </x:c>
      <x:c r="G21" s="23" t="n">
        <x:f>IFERROR(VLOOKUP(B21,Configuracion!$A$9:$C$19,2,FALSE),Configuracion!$B$5)</x:f>
        <x:v>0.25</x:v>
      </x:c>
      <x:c r="H21" s="22" t="n">
        <x:f>ROUNDUP(F21*(1+G21)/Configuracion!$B$3,0)*Configuracion!$B$3</x:f>
        <x:v>125800</x:v>
      </x:c>
      <x:c r="I21" s="23" t="n">
        <x:f>IFERROR(VLOOKUP(B21,Configuracion!$A$9:$C$19,3,FALSE),Configuracion!$C$5)</x:f>
        <x:v>0.45</x:v>
      </x:c>
      <x:c r="J21" s="22" t="n">
        <x:f>ROUNDUP(F21*(1+I21)/Configuracion!$B$3,0)*Configuracion!$B$3</x:f>
        <x:v>145900</x:v>
      </x:c>
      <x:c r="K21" s="22" t="n">
        <x:f>ROUNDUP(J21*(1-Configuracion!$B$4)/Configuracion!$B$3,0)*Configuracion!$B$3</x:f>
        <x:v>138700</x:v>
      </x:c>
      <x:c r="L21" s="21" t="str"/>
      <x:c r="M21" s="21" t="str">
        <x:v>Unidad</x:v>
      </x:c>
      <x:c r="N21" s="21" t="str">
        <x:v>Revisar OCR</x:v>
      </x:c>
      <x:c r="O21" s="21" t="n">
        <x:v>10</x:v>
      </x:c>
      <x:c r="P21" s="21" t="str">
        <x:v>Extraído por OCR del PDF; revisar imagen si el código o texto aparece con dudas.</x:v>
      </x:c>
      <x:c r="Q21" s="21" t="str">
        <x:v>Katl-8 KIT AMOLADORA 720W + TALADRO</x:v>
      </x:c>
    </x:row>
    <x:row r="22">
      <x:c r="A22" s="21" t="n">
        <x:v>21</x:v>
      </x:c>
      <x:c r="B22" s="21" t="str">
        <x:v>Taladros / 220V / Batería / Accesorios</x:v>
      </x:c>
      <x:c r="C22" s="21" t="str">
        <x:v>LH-199BK</x:v>
      </x:c>
      <x:c r="D22" s="21" t="str">
        <x:v>TALADRO ATORNILLADOR INALAMBRICO BRUSHLESS GARDEN PLUS</x:v>
      </x:c>
      <x:c r="E22" s="21" t="str">
        <x:v>Equipo de alta rotación para obra, taller y mantenimiento. Ideal para perforación, fijación y trabajos de uso intensivo según el modelo.</x:v>
      </x:c>
      <x:c r="F22" s="40" t="n">
        <x:v>79999.99</x:v>
      </x:c>
      <x:c r="G22" s="23" t="n">
        <x:f>IFERROR(VLOOKUP(B22,Configuracion!$A$9:$C$19,2,FALSE),Configuracion!$B$5)</x:f>
        <x:v>0.25</x:v>
      </x:c>
      <x:c r="H22" s="22" t="n">
        <x:f>ROUNDUP(F22*(1+G22)/Configuracion!$B$3,0)*Configuracion!$B$3</x:f>
        <x:v>100000</x:v>
      </x:c>
      <x:c r="I22" s="23" t="n">
        <x:f>IFERROR(VLOOKUP(B22,Configuracion!$A$9:$C$19,3,FALSE),Configuracion!$C$5)</x:f>
        <x:v>0.45</x:v>
      </x:c>
      <x:c r="J22" s="22" t="n">
        <x:f>ROUNDUP(F22*(1+I22)/Configuracion!$B$3,0)*Configuracion!$B$3</x:f>
        <x:v>116000</x:v>
      </x:c>
      <x:c r="K22" s="22" t="n">
        <x:f>ROUNDUP(J22*(1-Configuracion!$B$4)/Configuracion!$B$3,0)*Configuracion!$B$3</x:f>
        <x:v>110200</x:v>
      </x:c>
      <x:c r="L22" s="21" t="str"/>
      <x:c r="M22" s="21" t="str">
        <x:v>Unidad</x:v>
      </x:c>
      <x:c r="N22" s="21" t="str">
        <x:v>Revisar OCR</x:v>
      </x:c>
      <x:c r="O22" s="21" t="n">
        <x:v>10</x:v>
      </x:c>
      <x:c r="P22" s="21" t="str">
        <x:v>Extraído por OCR del PDF; revisar imagen si el código o texto aparece con dudas.</x:v>
      </x:c>
      <x:c r="Q22" s="21" t="str">
        <x:v>LH-199BK TALADRO ATORNILLADOR INALAMBRICO BRUSHLESS GARDEN PLUS</x:v>
      </x:c>
    </x:row>
    <x:row r="23">
      <x:c r="A23" s="21" t="n">
        <x:v>22</x:v>
      </x:c>
      <x:c r="B23" s="21" t="str">
        <x:v>Taladros / 220V / Batería / Accesorios</x:v>
      </x:c>
      <x:c r="C23" s="21" t="str">
        <x:v>LIL900-8</x:v>
      </x:c>
      <x:c r="D23" s="21" t="str">
        <x:v>LLAVE DE IMPACTO 900W</x:v>
      </x:c>
      <x:c r="E23" s="21" t="str">
        <x:v>Herramienta o conjunto para organización y trabajo de taller. Producto práctico para mecánica, mantenimiento y uso profesional.</x:v>
      </x:c>
      <x:c r="F23" s="40" t="n">
        <x:v>129800</x:v>
      </x:c>
      <x:c r="G23" s="23" t="n">
        <x:f>IFERROR(VLOOKUP(B23,Configuracion!$A$9:$C$19,2,FALSE),Configuracion!$B$5)</x:f>
        <x:v>0.25</x:v>
      </x:c>
      <x:c r="H23" s="22" t="n">
        <x:f>ROUNDUP(F23*(1+G23)/Configuracion!$B$3,0)*Configuracion!$B$3</x:f>
        <x:v>162300</x:v>
      </x:c>
      <x:c r="I23" s="23" t="n">
        <x:f>IFERROR(VLOOKUP(B23,Configuracion!$A$9:$C$19,3,FALSE),Configuracion!$C$5)</x:f>
        <x:v>0.45</x:v>
      </x:c>
      <x:c r="J23" s="22" t="n">
        <x:f>ROUNDUP(F23*(1+I23)/Configuracion!$B$3,0)*Configuracion!$B$3</x:f>
        <x:v>188300</x:v>
      </x:c>
      <x:c r="K23" s="22" t="n">
        <x:f>ROUNDUP(J23*(1-Configuracion!$B$4)/Configuracion!$B$3,0)*Configuracion!$B$3</x:f>
        <x:v>178900</x:v>
      </x:c>
      <x:c r="L23" s="21" t="str"/>
      <x:c r="M23" s="21" t="str">
        <x:v>Unidad</x:v>
      </x:c>
      <x:c r="N23" s="21" t="str">
        <x:v>OK</x:v>
      </x:c>
      <x:c r="O23" s="21" t="n">
        <x:v>11</x:v>
      </x:c>
      <x:c r="P23" s="21" t="str">
        <x:v>Extraído del PDF.</x:v>
      </x:c>
      <x:c r="Q23" s="21" t="str">
        <x:v>LIL900-8 // LLAVE DE IMPACTO 900W</x:v>
      </x:c>
    </x:row>
    <x:row r="24">
      <x:c r="A24" s="21" t="n">
        <x:v>23</x:v>
      </x:c>
      <x:c r="B24" s="21" t="str">
        <x:v>Taladros / 220V / Batería / Accesorios</x:v>
      </x:c>
      <x:c r="C24" s="21" t="str">
        <x:v>LIGP530-78</x:v>
      </x:c>
      <x:c r="D24" s="21" t="str">
        <x:v>LLAVE DE IMPACTO INALAMBRICA</x:v>
      </x:c>
      <x:c r="E24" s="21" t="str">
        <x:v>Herramienta o conjunto para organización y trabajo de taller. Producto práctico para mecánica, mantenimiento y uso profesional.</x:v>
      </x:c>
      <x:c r="F24" s="40" t="n">
        <x:v>161263</x:v>
      </x:c>
      <x:c r="G24" s="23" t="n">
        <x:f>IFERROR(VLOOKUP(B24,Configuracion!$A$9:$C$19,2,FALSE),Configuracion!$B$5)</x:f>
        <x:v>0.25</x:v>
      </x:c>
      <x:c r="H24" s="22" t="n">
        <x:f>ROUNDUP(F24*(1+G24)/Configuracion!$B$3,0)*Configuracion!$B$3</x:f>
        <x:v>201600</x:v>
      </x:c>
      <x:c r="I24" s="23" t="n">
        <x:f>IFERROR(VLOOKUP(B24,Configuracion!$A$9:$C$19,3,FALSE),Configuracion!$C$5)</x:f>
        <x:v>0.45</x:v>
      </x:c>
      <x:c r="J24" s="22" t="n">
        <x:f>ROUNDUP(F24*(1+I24)/Configuracion!$B$3,0)*Configuracion!$B$3</x:f>
        <x:v>233900</x:v>
      </x:c>
      <x:c r="K24" s="22" t="n">
        <x:f>ROUNDUP(J24*(1-Configuracion!$B$4)/Configuracion!$B$3,0)*Configuracion!$B$3</x:f>
        <x:v>222300</x:v>
      </x:c>
      <x:c r="L24" s="21" t="str"/>
      <x:c r="M24" s="21" t="str">
        <x:v>Unidad</x:v>
      </x:c>
      <x:c r="N24" s="21" t="str">
        <x:v>Revisar OCR</x:v>
      </x:c>
      <x:c r="O24" s="21" t="n">
        <x:v>11</x:v>
      </x:c>
      <x:c r="P24" s="21" t="str">
        <x:v>Extraído por OCR del PDF; revisar imagen si el código o texto aparece con dudas.</x:v>
      </x:c>
      <x:c r="Q24" s="21" t="str">
        <x:v>LIGP530-78 // LLAVE DE IMPACTO INALAMBRICA</x:v>
      </x:c>
    </x:row>
    <x:row r="25">
      <x:c r="A25" s="21" t="n">
        <x:v>24</x:v>
      </x:c>
      <x:c r="B25" s="21" t="str">
        <x:v>Taladros / 220V / Batería / Accesorios</x:v>
      </x:c>
      <x:c r="C25" s="21" t="str">
        <x:v>LTA750</x:v>
      </x:c>
      <x:c r="D25" s="21" t="str">
        <x:v>TALADRO CON PERCUTOR 750W LUSQTOFF</x:v>
      </x:c>
      <x:c r="E25" s="21" t="str">
        <x:v>Equipo de alta rotación para obra, taller y mantenimiento. Ideal para perforación, fijación y trabajos de uso intensivo según el modelo.</x:v>
      </x:c>
      <x:c r="F25" s="40" t="n">
        <x:v>43808</x:v>
      </x:c>
      <x:c r="G25" s="23" t="n">
        <x:f>IFERROR(VLOOKUP(B25,Configuracion!$A$9:$C$19,2,FALSE),Configuracion!$B$5)</x:f>
        <x:v>0.25</x:v>
      </x:c>
      <x:c r="H25" s="22" t="n">
        <x:f>ROUNDUP(F25*(1+G25)/Configuracion!$B$3,0)*Configuracion!$B$3</x:f>
        <x:v>54800</x:v>
      </x:c>
      <x:c r="I25" s="23" t="n">
        <x:f>IFERROR(VLOOKUP(B25,Configuracion!$A$9:$C$19,3,FALSE),Configuracion!$C$5)</x:f>
        <x:v>0.45</x:v>
      </x:c>
      <x:c r="J25" s="22" t="n">
        <x:f>ROUNDUP(F25*(1+I25)/Configuracion!$B$3,0)*Configuracion!$B$3</x:f>
        <x:v>63600</x:v>
      </x:c>
      <x:c r="K25" s="22" t="n">
        <x:f>ROUNDUP(J25*(1-Configuracion!$B$4)/Configuracion!$B$3,0)*Configuracion!$B$3</x:f>
        <x:v>60500</x:v>
      </x:c>
      <x:c r="L25" s="21" t="str"/>
      <x:c r="M25" s="21" t="str">
        <x:v>Unidad</x:v>
      </x:c>
      <x:c r="N25" s="21" t="str">
        <x:v>Revisar OCR</x:v>
      </x:c>
      <x:c r="O25" s="21" t="n">
        <x:v>11</x:v>
      </x:c>
      <x:c r="P25" s="21" t="str">
        <x:v>Extraído por OCR del PDF; revisar imagen si el código o texto aparece con dudas.</x:v>
      </x:c>
      <x:c r="Q25" s="21" t="str">
        <x:v>LTA750 // TALADRO CON PERCUTOR 750W LUSQTOFF</x:v>
      </x:c>
    </x:row>
    <x:row r="26">
      <x:c r="A26" s="21" t="n">
        <x:v>25</x:v>
      </x:c>
      <x:c r="B26" s="21" t="str">
        <x:v>Taladros / 220V / Batería / Accesorios</x:v>
      </x:c>
      <x:c r="C26" s="21" t="str">
        <x:v>ADL4-8</x:v>
      </x:c>
      <x:c r="D26" s="21" t="str">
        <x:v>ATORNILLADOR / DESTORNILLADOR INALAMBRICO 4V</x:v>
      </x:c>
      <x:c r="E26" s="21" t="str">
        <x:v>Equipo de alta rotación para obra, taller y mantenimiento. Ideal para perforación, fijación y trabajos de uso intensivo según el modelo.</x:v>
      </x:c>
      <x:c r="F26" s="40" t="n">
        <x:v>52484.61</x:v>
      </x:c>
      <x:c r="G26" s="23" t="n">
        <x:f>IFERROR(VLOOKUP(B26,Configuracion!$A$9:$C$19,2,FALSE),Configuracion!$B$5)</x:f>
        <x:v>0.25</x:v>
      </x:c>
      <x:c r="H26" s="22" t="n">
        <x:f>ROUNDUP(F26*(1+G26)/Configuracion!$B$3,0)*Configuracion!$B$3</x:f>
        <x:v>65700</x:v>
      </x:c>
      <x:c r="I26" s="23" t="n">
        <x:f>IFERROR(VLOOKUP(B26,Configuracion!$A$9:$C$19,3,FALSE),Configuracion!$C$5)</x:f>
        <x:v>0.45</x:v>
      </x:c>
      <x:c r="J26" s="22" t="n">
        <x:f>ROUNDUP(F26*(1+I26)/Configuracion!$B$3,0)*Configuracion!$B$3</x:f>
        <x:v>76200</x:v>
      </x:c>
      <x:c r="K26" s="22" t="n">
        <x:f>ROUNDUP(J26*(1-Configuracion!$B$4)/Configuracion!$B$3,0)*Configuracion!$B$3</x:f>
        <x:v>72400</x:v>
      </x:c>
      <x:c r="L26" s="21" t="str"/>
      <x:c r="M26" s="21" t="str">
        <x:v>Unidad</x:v>
      </x:c>
      <x:c r="N26" s="21" t="str">
        <x:v>OK</x:v>
      </x:c>
      <x:c r="O26" s="21" t="n">
        <x:v>12</x:v>
      </x:c>
      <x:c r="P26" s="21" t="str">
        <x:v>Extraído del PDF.</x:v>
      </x:c>
      <x:c r="Q26" s="21" t="str">
        <x:v>ADL4-8 ATORNILLADOR / DESTORNILLADOR INALAMBRICO 4V</x:v>
      </x:c>
    </x:row>
    <x:row r="27">
      <x:c r="A27" s="21" t="n">
        <x:v>26</x:v>
      </x:c>
      <x:c r="B27" s="21" t="str">
        <x:v>Taladros / 220V / Batería / Accesorios</x:v>
      </x:c>
      <x:c r="C27" s="21" t="str">
        <x:v>MTL150-9</x:v>
      </x:c>
      <x:c r="D27" s="21" t="str">
        <x:v>MINI TORNO CON ACCESORIOS</x:v>
      </x:c>
      <x:c r="E27" s="21" t="str">
        <x:v>Producto Lusqtoff para uso profesional, taller, hogar o mantenimiento. Consultar disponibilidad y garantía oficial.</x:v>
      </x:c>
      <x:c r="F27" s="40" t="n">
        <x:v>64900</x:v>
      </x:c>
      <x:c r="G27" s="23" t="n">
        <x:f>IFERROR(VLOOKUP(B27,Configuracion!$A$9:$C$19,2,FALSE),Configuracion!$B$5)</x:f>
        <x:v>0.25</x:v>
      </x:c>
      <x:c r="H27" s="22" t="n">
        <x:f>ROUNDUP(F27*(1+G27)/Configuracion!$B$3,0)*Configuracion!$B$3</x:f>
        <x:v>81200</x:v>
      </x:c>
      <x:c r="I27" s="23" t="n">
        <x:f>IFERROR(VLOOKUP(B27,Configuracion!$A$9:$C$19,3,FALSE),Configuracion!$C$5)</x:f>
        <x:v>0.45</x:v>
      </x:c>
      <x:c r="J27" s="22" t="n">
        <x:f>ROUNDUP(F27*(1+I27)/Configuracion!$B$3,0)*Configuracion!$B$3</x:f>
        <x:v>94200</x:v>
      </x:c>
      <x:c r="K27" s="22" t="n">
        <x:f>ROUNDUP(J27*(1-Configuracion!$B$4)/Configuracion!$B$3,0)*Configuracion!$B$3</x:f>
        <x:v>89500</x:v>
      </x:c>
      <x:c r="L27" s="21" t="str"/>
      <x:c r="M27" s="21" t="str">
        <x:v>Unidad</x:v>
      </x:c>
      <x:c r="N27" s="21" t="str">
        <x:v>OK</x:v>
      </x:c>
      <x:c r="O27" s="21" t="n">
        <x:v>12</x:v>
      </x:c>
      <x:c r="P27" s="21" t="str">
        <x:v>Extraído del PDF.</x:v>
      </x:c>
      <x:c r="Q27" s="21" t="str">
        <x:v>MTL150-9 // MINI TORNO CON ACCESORIOS</x:v>
      </x:c>
    </x:row>
    <x:row r="28">
      <x:c r="A28" s="21" t="n">
        <x:v>27</x:v>
      </x:c>
      <x:c r="B28" s="21" t="str">
        <x:v>Taladros / 220V / Batería / Accesorios</x:v>
      </x:c>
      <x:c r="C28" s="21" t="str">
        <x:v>GP-810</x:v>
      </x:c>
      <x:c r="D28" s="21" t="str">
        <x:v>MARTILLO DEMOLEDOR 220V</x:v>
      </x:c>
      <x:c r="E28" s="21" t="str">
        <x:v>Equipo de alta rotación para obra, taller y mantenimiento. Ideal para perforación, fijación y trabajos de uso intensivo según el modelo.</x:v>
      </x:c>
      <x:c r="F28" s="40" t="n">
        <x:v>113575</x:v>
      </x:c>
      <x:c r="G28" s="23" t="n">
        <x:f>IFERROR(VLOOKUP(B28,Configuracion!$A$9:$C$19,2,FALSE),Configuracion!$B$5)</x:f>
        <x:v>0.25</x:v>
      </x:c>
      <x:c r="H28" s="22" t="n">
        <x:f>ROUNDUP(F28*(1+G28)/Configuracion!$B$3,0)*Configuracion!$B$3</x:f>
        <x:v>142000</x:v>
      </x:c>
      <x:c r="I28" s="23" t="n">
        <x:f>IFERROR(VLOOKUP(B28,Configuracion!$A$9:$C$19,3,FALSE),Configuracion!$C$5)</x:f>
        <x:v>0.45</x:v>
      </x:c>
      <x:c r="J28" s="22" t="n">
        <x:f>ROUNDUP(F28*(1+I28)/Configuracion!$B$3,0)*Configuracion!$B$3</x:f>
        <x:v>164700</x:v>
      </x:c>
      <x:c r="K28" s="22" t="n">
        <x:f>ROUNDUP(J28*(1-Configuracion!$B$4)/Configuracion!$B$3,0)*Configuracion!$B$3</x:f>
        <x:v>156500</x:v>
      </x:c>
      <x:c r="L28" s="21" t="str"/>
      <x:c r="M28" s="21" t="str">
        <x:v>Unidad</x:v>
      </x:c>
      <x:c r="N28" s="21" t="str">
        <x:v>OK</x:v>
      </x:c>
      <x:c r="O28" s="21" t="n">
        <x:v>13</x:v>
      </x:c>
      <x:c r="P28" s="21" t="str">
        <x:v>Extraído del PDF.</x:v>
      </x:c>
      <x:c r="Q28" s="21" t="str">
        <x:v>GP-810 // MARTILLO DEMOLEDOR 220V</x:v>
      </x:c>
    </x:row>
    <x:row r="29">
      <x:c r="A29" s="21" t="n">
        <x:v>28</x:v>
      </x:c>
      <x:c r="B29" s="21" t="str">
        <x:v>Taladros / 220V / Batería / Accesorios</x:v>
      </x:c>
      <x:c r="C29" s="21" t="str">
        <x:v>DE-16HEX</x:v>
      </x:c>
      <x:c r="D29" s="21" t="str">
        <x:v>MARTILLO DEMOLEDOR ENCASTRE HEXAGONAL 1700W</x:v>
      </x:c>
      <x:c r="E29" s="21" t="str">
        <x:v>Equipo de alta rotación para obra, taller y mantenimiento. Ideal para perforación, fijación y trabajos de uso intensivo según el modelo.</x:v>
      </x:c>
      <x:c r="F29" s="40" t="n">
        <x:v>258037</x:v>
      </x:c>
      <x:c r="G29" s="23" t="n">
        <x:f>IFERROR(VLOOKUP(B29,Configuracion!$A$9:$C$19,2,FALSE),Configuracion!$B$5)</x:f>
        <x:v>0.25</x:v>
      </x:c>
      <x:c r="H29" s="22" t="n">
        <x:f>ROUNDUP(F29*(1+G29)/Configuracion!$B$3,0)*Configuracion!$B$3</x:f>
        <x:v>322600</x:v>
      </x:c>
      <x:c r="I29" s="23" t="n">
        <x:f>IFERROR(VLOOKUP(B29,Configuracion!$A$9:$C$19,3,FALSE),Configuracion!$C$5)</x:f>
        <x:v>0.45</x:v>
      </x:c>
      <x:c r="J29" s="22" t="n">
        <x:f>ROUNDUP(F29*(1+I29)/Configuracion!$B$3,0)*Configuracion!$B$3</x:f>
        <x:v>374200</x:v>
      </x:c>
      <x:c r="K29" s="22" t="n">
        <x:f>ROUNDUP(J29*(1-Configuracion!$B$4)/Configuracion!$B$3,0)*Configuracion!$B$3</x:f>
        <x:v>355500</x:v>
      </x:c>
      <x:c r="L29" s="21" t="str"/>
      <x:c r="M29" s="21" t="str">
        <x:v>Unidad</x:v>
      </x:c>
      <x:c r="N29" s="21" t="str">
        <x:v>OK</x:v>
      </x:c>
      <x:c r="O29" s="21" t="n">
        <x:v>13</x:v>
      </x:c>
      <x:c r="P29" s="21" t="str">
        <x:v>Extraído del PDF.</x:v>
      </x:c>
      <x:c r="Q29" s="21" t="str">
        <x:v>DE-16HEX // MARTILLO DEMOLEDOR ENCASTRE HEXAGONAL 1700W</x:v>
      </x:c>
    </x:row>
    <x:row r="30">
      <x:c r="A30" s="21" t="n">
        <x:v>29</x:v>
      </x:c>
      <x:c r="B30" s="21" t="str">
        <x:v>Set de Herramientas Completos / Individuales</x:v>
      </x:c>
      <x:c r="C30" s="21" t="str">
        <x:v>GHL253-8</x:v>
      </x:c>
      <x:c r="D30" s="21" t="str">
        <x:v>GABINETE RACING 253 PIEZAS LUSQTOFF</x:v>
      </x:c>
      <x:c r="E30" s="21" t="str">
        <x:v>Herramienta o conjunto para organización y trabajo de taller. Producto práctico para mecánica, mantenimiento y uso profesional.</x:v>
      </x:c>
      <x:c r="F30" s="40" t="n">
        <x:v>722013</x:v>
      </x:c>
      <x:c r="G30" s="23" t="n">
        <x:f>IFERROR(VLOOKUP(B30,Configuracion!$A$9:$C$19,2,FALSE),Configuracion!$B$5)</x:f>
        <x:v>0.28</x:v>
      </x:c>
      <x:c r="H30" s="22" t="n">
        <x:f>ROUNDUP(F30*(1+G30)/Configuracion!$B$3,0)*Configuracion!$B$3</x:f>
        <x:v>924200</x:v>
      </x:c>
      <x:c r="I30" s="23" t="n">
        <x:f>IFERROR(VLOOKUP(B30,Configuracion!$A$9:$C$19,3,FALSE),Configuracion!$C$5)</x:f>
        <x:v>0.5</x:v>
      </x:c>
      <x:c r="J30" s="22" t="n">
        <x:f>ROUNDUP(F30*(1+I30)/Configuracion!$B$3,0)*Configuracion!$B$3</x:f>
        <x:v>1083100</x:v>
      </x:c>
      <x:c r="K30" s="22" t="n">
        <x:f>ROUNDUP(J30*(1-Configuracion!$B$4)/Configuracion!$B$3,0)*Configuracion!$B$3</x:f>
        <x:v>1029000</x:v>
      </x:c>
      <x:c r="L30" s="21" t="str"/>
      <x:c r="M30" s="21" t="str">
        <x:v>Unidad</x:v>
      </x:c>
      <x:c r="N30" s="21" t="str">
        <x:v>Revisar OCR</x:v>
      </x:c>
      <x:c r="O30" s="21" t="n">
        <x:v>14</x:v>
      </x:c>
      <x:c r="P30" s="21" t="str">
        <x:v>Extraído por OCR del PDF; revisar imagen si el código o texto aparece con dudas.</x:v>
      </x:c>
      <x:c r="Q30" s="21" t="str">
        <x:v>GHL253-8 // GABINETE RACING 253 PIEZAS LUSQTOFF</x:v>
      </x:c>
    </x:row>
    <x:row r="31">
      <x:c r="A31" s="21" t="n">
        <x:v>30</x:v>
      </x:c>
      <x:c r="B31" s="21" t="str">
        <x:v>Set de Herramientas Completos / Individuales</x:v>
      </x:c>
      <x:c r="C31" s="21" t="str">
        <x:v>LCHP6-8</x:v>
      </x:c>
      <x:c r="D31" s="21" t="str">
        <x:v>CARRO PORTA HERRAMIENTAS ORGANIZADOR</x:v>
      </x:c>
      <x:c r="E31" s="21" t="str">
        <x:v>Herramienta o conjunto para organización y trabajo de taller. Producto práctico para mecánica, mantenimiento y uso profesional.</x:v>
      </x:c>
      <x:c r="F31" s="40" t="n">
        <x:v>456977.29</x:v>
      </x:c>
      <x:c r="G31" s="23" t="n">
        <x:f>IFERROR(VLOOKUP(B31,Configuracion!$A$9:$C$19,2,FALSE),Configuracion!$B$5)</x:f>
        <x:v>0.28</x:v>
      </x:c>
      <x:c r="H31" s="22" t="n">
        <x:f>ROUNDUP(F31*(1+G31)/Configuracion!$B$3,0)*Configuracion!$B$3</x:f>
        <x:v>585000</x:v>
      </x:c>
      <x:c r="I31" s="23" t="n">
        <x:f>IFERROR(VLOOKUP(B31,Configuracion!$A$9:$C$19,3,FALSE),Configuracion!$C$5)</x:f>
        <x:v>0.5</x:v>
      </x:c>
      <x:c r="J31" s="22" t="n">
        <x:f>ROUNDUP(F31*(1+I31)/Configuracion!$B$3,0)*Configuracion!$B$3</x:f>
        <x:v>685500</x:v>
      </x:c>
      <x:c r="K31" s="22" t="n">
        <x:f>ROUNDUP(J31*(1-Configuracion!$B$4)/Configuracion!$B$3,0)*Configuracion!$B$3</x:f>
        <x:v>651300</x:v>
      </x:c>
      <x:c r="L31" s="21" t="str"/>
      <x:c r="M31" s="21" t="str">
        <x:v>Unidad</x:v>
      </x:c>
      <x:c r="N31" s="21" t="str">
        <x:v>OK</x:v>
      </x:c>
      <x:c r="O31" s="21" t="n">
        <x:v>15</x:v>
      </x:c>
      <x:c r="P31" s="21" t="str">
        <x:v>Extraído del PDF.</x:v>
      </x:c>
      <x:c r="Q31" s="21" t="str">
        <x:v>LCHP6-8 CARRO PORTA HERRAMIENTAS ORGANIZADOR</x:v>
      </x:c>
    </x:row>
    <x:row r="32">
      <x:c r="A32" s="21" t="n">
        <x:v>31</x:v>
      </x:c>
      <x:c r="B32" s="21" t="str">
        <x:v>Set de Herramientas Completos / Individuales</x:v>
      </x:c>
      <x:c r="C32" s="21" t="str">
        <x:v>LB106</x:v>
      </x:c>
      <x:c r="D32" s="21" t="str">
        <x:v>CARRO PORTA HERRAMIENTAS ORGANIZADOR 3 CAJAS</x:v>
      </x:c>
      <x:c r="E32" s="21" t="str">
        <x:v>Herramienta o conjunto para organización y trabajo de taller. Producto práctico para mecánica, mantenimiento y uso profesional.</x:v>
      </x:c>
      <x:c r="F32" s="40" t="n">
        <x:v>209028.6</x:v>
      </x:c>
      <x:c r="G32" s="23" t="n">
        <x:f>IFERROR(VLOOKUP(B32,Configuracion!$A$9:$C$19,2,FALSE),Configuracion!$B$5)</x:f>
        <x:v>0.28</x:v>
      </x:c>
      <x:c r="H32" s="22" t="n">
        <x:f>ROUNDUP(F32*(1+G32)/Configuracion!$B$3,0)*Configuracion!$B$3</x:f>
        <x:v>267600</x:v>
      </x:c>
      <x:c r="I32" s="23" t="n">
        <x:f>IFERROR(VLOOKUP(B32,Configuracion!$A$9:$C$19,3,FALSE),Configuracion!$C$5)</x:f>
        <x:v>0.5</x:v>
      </x:c>
      <x:c r="J32" s="22" t="n">
        <x:f>ROUNDUP(F32*(1+I32)/Configuracion!$B$3,0)*Configuracion!$B$3</x:f>
        <x:v>313600</x:v>
      </x:c>
      <x:c r="K32" s="22" t="n">
        <x:f>ROUNDUP(J32*(1-Configuracion!$B$4)/Configuracion!$B$3,0)*Configuracion!$B$3</x:f>
        <x:v>298000</x:v>
      </x:c>
      <x:c r="L32" s="21" t="str"/>
      <x:c r="M32" s="21" t="str">
        <x:v>Unidad</x:v>
      </x:c>
      <x:c r="N32" s="21" t="str">
        <x:v>OK</x:v>
      </x:c>
      <x:c r="O32" s="21" t="n">
        <x:v>15</x:v>
      </x:c>
      <x:c r="P32" s="21" t="str">
        <x:v>Extraído del PDF.</x:v>
      </x:c>
      <x:c r="Q32" s="21" t="str">
        <x:v>LB106 CARRO PORTA HERRAMIENTAS ORGANIZADOR 3 CAJAS</x:v>
      </x:c>
    </x:row>
    <x:row r="33">
      <x:c r="A33" s="21" t="n">
        <x:v>32</x:v>
      </x:c>
      <x:c r="B33" s="21" t="str">
        <x:v>Set de Herramientas Completos / Individuales</x:v>
      </x:c>
      <x:c r="C33" s="21" t="str">
        <x:v>BTCL7-8</x:v>
      </x:c>
      <x:c r="D33" s="21" t="str">
        <x:v>BANCO DE TRABAJO CONVERTIBLE 7 EN 1</x:v>
      </x:c>
      <x:c r="E33" s="21" t="str">
        <x:v>Herramienta o conjunto para organización y trabajo de taller. Producto práctico para mecánica, mantenimiento y uso profesional.</x:v>
      </x:c>
      <x:c r="F33" s="40" t="n">
        <x:v>310000</x:v>
      </x:c>
      <x:c r="G33" s="23" t="n">
        <x:f>IFERROR(VLOOKUP(B33,Configuracion!$A$9:$C$19,2,FALSE),Configuracion!$B$5)</x:f>
        <x:v>0.28</x:v>
      </x:c>
      <x:c r="H33" s="22" t="n">
        <x:f>ROUNDUP(F33*(1+G33)/Configuracion!$B$3,0)*Configuracion!$B$3</x:f>
        <x:v>396800</x:v>
      </x:c>
      <x:c r="I33" s="23" t="n">
        <x:f>IFERROR(VLOOKUP(B33,Configuracion!$A$9:$C$19,3,FALSE),Configuracion!$C$5)</x:f>
        <x:v>0.5</x:v>
      </x:c>
      <x:c r="J33" s="22" t="n">
        <x:f>ROUNDUP(F33*(1+I33)/Configuracion!$B$3,0)*Configuracion!$B$3</x:f>
        <x:v>465000</x:v>
      </x:c>
      <x:c r="K33" s="22" t="n">
        <x:f>ROUNDUP(J33*(1-Configuracion!$B$4)/Configuracion!$B$3,0)*Configuracion!$B$3</x:f>
        <x:v>441800</x:v>
      </x:c>
      <x:c r="L33" s="21" t="str"/>
      <x:c r="M33" s="21" t="str">
        <x:v>Unidad</x:v>
      </x:c>
      <x:c r="N33" s="21" t="str">
        <x:v>OK</x:v>
      </x:c>
      <x:c r="O33" s="21" t="n">
        <x:v>16</x:v>
      </x:c>
      <x:c r="P33" s="21" t="str">
        <x:v>Extraído del PDF.</x:v>
      </x:c>
      <x:c r="Q33" s="21" t="str">
        <x:v>BTCL7-8 - BANCO DE TRABAJO CONVERTIBLE 7 EN 1</x:v>
      </x:c>
    </x:row>
    <x:row r="34">
      <x:c r="A34" s="21" t="n">
        <x:v>33</x:v>
      </x:c>
      <x:c r="B34" s="21" t="str">
        <x:v>Set de Herramientas Completos / Individuales</x:v>
      </x:c>
      <x:c r="C34" s="21" t="str">
        <x:v>LQCTI07-8K</x:v>
      </x:c>
      <x:c r="D34" s="21" t="str">
        <x:v>CAJA DE HERRAMIENTAS CON 106 PCS + TAL ADRO PERCUTOR 710W</x:v>
      </x:c>
      <x:c r="E34" s="21" t="str">
        <x:v>Herramienta o conjunto para organización y trabajo de taller. Producto práctico para mecánica, mantenimiento y uso profesional.</x:v>
      </x:c>
      <x:c r="F34" s="40" t="n">
        <x:v>199000</x:v>
      </x:c>
      <x:c r="G34" s="23" t="n">
        <x:f>IFERROR(VLOOKUP(B34,Configuracion!$A$9:$C$19,2,FALSE),Configuracion!$B$5)</x:f>
        <x:v>0.28</x:v>
      </x:c>
      <x:c r="H34" s="22" t="n">
        <x:f>ROUNDUP(F34*(1+G34)/Configuracion!$B$3,0)*Configuracion!$B$3</x:f>
        <x:v>254800</x:v>
      </x:c>
      <x:c r="I34" s="23" t="n">
        <x:f>IFERROR(VLOOKUP(B34,Configuracion!$A$9:$C$19,3,FALSE),Configuracion!$C$5)</x:f>
        <x:v>0.5</x:v>
      </x:c>
      <x:c r="J34" s="22" t="n">
        <x:f>ROUNDUP(F34*(1+I34)/Configuracion!$B$3,0)*Configuracion!$B$3</x:f>
        <x:v>298500</x:v>
      </x:c>
      <x:c r="K34" s="22" t="n">
        <x:f>ROUNDUP(J34*(1-Configuracion!$B$4)/Configuracion!$B$3,0)*Configuracion!$B$3</x:f>
        <x:v>283600</x:v>
      </x:c>
      <x:c r="L34" s="21" t="str"/>
      <x:c r="M34" s="21" t="str">
        <x:v>Unidad</x:v>
      </x:c>
      <x:c r="N34" s="21" t="str">
        <x:v>OK</x:v>
      </x:c>
      <x:c r="O34" s="21" t="n">
        <x:v>16</x:v>
      </x:c>
      <x:c r="P34" s="21" t="str">
        <x:v>Extraído del PDF.</x:v>
      </x:c>
      <x:c r="Q34" s="21" t="str">
        <x:v>LQCTI07-8K // CAJA DE HERRAMIENTAS CON 106 PCS + TAL ADRO PERCUTOR 710W</x:v>
      </x:c>
    </x:row>
    <x:row r="35">
      <x:c r="A35" s="21" t="n">
        <x:v>34</x:v>
      </x:c>
      <x:c r="B35" s="21" t="str">
        <x:v>Set de Herramientas Completos / Individuales</x:v>
      </x:c>
      <x:c r="C35" s="21" t="str">
        <x:v>BHL3.9</x:v>
      </x:c>
      <x:c r="D35" s="21" t="str">
        <x:v>BANCO PORTAHERRAMIENTAS CON 3</x:v>
      </x:c>
      <x:c r="E35" s="21" t="str">
        <x:v>Herramienta o conjunto para organización y trabajo de taller. Producto práctico para mecánica, mantenimiento y uso profesional.</x:v>
      </x:c>
      <x:c r="F35" s="40" t="n">
        <x:v>186588</x:v>
      </x:c>
      <x:c r="G35" s="23" t="n">
        <x:f>IFERROR(VLOOKUP(B35,Configuracion!$A$9:$C$19,2,FALSE),Configuracion!$B$5)</x:f>
        <x:v>0.28</x:v>
      </x:c>
      <x:c r="H35" s="22" t="n">
        <x:f>ROUNDUP(F35*(1+G35)/Configuracion!$B$3,0)*Configuracion!$B$3</x:f>
        <x:v>238900</x:v>
      </x:c>
      <x:c r="I35" s="23" t="n">
        <x:f>IFERROR(VLOOKUP(B35,Configuracion!$A$9:$C$19,3,FALSE),Configuracion!$C$5)</x:f>
        <x:v>0.5</x:v>
      </x:c>
      <x:c r="J35" s="22" t="n">
        <x:f>ROUNDUP(F35*(1+I35)/Configuracion!$B$3,0)*Configuracion!$B$3</x:f>
        <x:v>279900</x:v>
      </x:c>
      <x:c r="K35" s="22" t="n">
        <x:f>ROUNDUP(J35*(1-Configuracion!$B$4)/Configuracion!$B$3,0)*Configuracion!$B$3</x:f>
        <x:v>266000</x:v>
      </x:c>
      <x:c r="L35" s="21" t="str"/>
      <x:c r="M35" s="21" t="str">
        <x:v>Unidad</x:v>
      </x:c>
      <x:c r="N35" s="21" t="str">
        <x:v>OK</x:v>
      </x:c>
      <x:c r="O35" s="21" t="n">
        <x:v>17</x:v>
      </x:c>
      <x:c r="P35" s="21" t="str">
        <x:v>Extraído del PDF.</x:v>
      </x:c>
      <x:c r="Q35" s="21" t="str">
        <x:v>BHL3.9 // BANCO PORTAHERRAMIENTAS CON 3</x:v>
      </x:c>
    </x:row>
    <x:row r="36">
      <x:c r="A36" s="21" t="n">
        <x:v>35</x:v>
      </x:c>
      <x:c r="B36" s="21" t="str">
        <x:v>Set de Herramientas Completos / Individuales</x:v>
      </x:c>
      <x:c r="C36" s="21" t="str">
        <x:v>TC-1350</x:v>
      </x:c>
      <x:c r="D36" s="21" t="str">
        <x:v>MESA PORTA HERRAMIENTAS</x:v>
      </x:c>
      <x:c r="E36" s="21" t="str">
        <x:v>Herramienta o conjunto para organización y trabajo de taller. Producto práctico para mecánica, mantenimiento y uso profesional.</x:v>
      </x:c>
      <x:c r="F36" s="40" t="n">
        <x:v>87473.93</x:v>
      </x:c>
      <x:c r="G36" s="23" t="n">
        <x:f>IFERROR(VLOOKUP(B36,Configuracion!$A$9:$C$19,2,FALSE),Configuracion!$B$5)</x:f>
        <x:v>0.28</x:v>
      </x:c>
      <x:c r="H36" s="22" t="n">
        <x:f>ROUNDUP(F36*(1+G36)/Configuracion!$B$3,0)*Configuracion!$B$3</x:f>
        <x:v>112000</x:v>
      </x:c>
      <x:c r="I36" s="23" t="n">
        <x:f>IFERROR(VLOOKUP(B36,Configuracion!$A$9:$C$19,3,FALSE),Configuracion!$C$5)</x:f>
        <x:v>0.5</x:v>
      </x:c>
      <x:c r="J36" s="22" t="n">
        <x:f>ROUNDUP(F36*(1+I36)/Configuracion!$B$3,0)*Configuracion!$B$3</x:f>
        <x:v>131300</x:v>
      </x:c>
      <x:c r="K36" s="22" t="n">
        <x:f>ROUNDUP(J36*(1-Configuracion!$B$4)/Configuracion!$B$3,0)*Configuracion!$B$3</x:f>
        <x:v>124800</x:v>
      </x:c>
      <x:c r="L36" s="21" t="str"/>
      <x:c r="M36" s="21" t="str">
        <x:v>Unidad</x:v>
      </x:c>
      <x:c r="N36" s="21" t="str">
        <x:v>OK</x:v>
      </x:c>
      <x:c r="O36" s="21" t="n">
        <x:v>17</x:v>
      </x:c>
      <x:c r="P36" s="21" t="str">
        <x:v>Extraído del PDF.</x:v>
      </x:c>
      <x:c r="Q36" s="21" t="str">
        <x:v>TC-1350 // MESA PORTA HERRAMIENTAS</x:v>
      </x:c>
    </x:row>
    <x:row r="37">
      <x:c r="A37" s="21" t="n">
        <x:v>36</x:v>
      </x:c>
      <x:c r="B37" s="21" t="str">
        <x:v>Set de Herramientas Completos / Individuales</x:v>
      </x:c>
      <x:c r="C37" s="21" t="str">
        <x:v>18120</x:v>
      </x:c>
      <x:c r="D37" s="21" t="str">
        <x:v>CAJA DE HERRAMIENTA 23" CIERRE METALICO</x:v>
      </x:c>
      <x:c r="E37" s="21" t="str">
        <x:v>Herramienta o conjunto para organización y trabajo de taller. Producto práctico para mecánica, mantenimiento y uso profesional.</x:v>
      </x:c>
      <x:c r="F37" s="40" t="n">
        <x:v>40238.65</x:v>
      </x:c>
      <x:c r="G37" s="23" t="n">
        <x:f>IFERROR(VLOOKUP(B37,Configuracion!$A$9:$C$19,2,FALSE),Configuracion!$B$5)</x:f>
        <x:v>0.28</x:v>
      </x:c>
      <x:c r="H37" s="22" t="n">
        <x:f>ROUNDUP(F37*(1+G37)/Configuracion!$B$3,0)*Configuracion!$B$3</x:f>
        <x:v>51600</x:v>
      </x:c>
      <x:c r="I37" s="23" t="n">
        <x:f>IFERROR(VLOOKUP(B37,Configuracion!$A$9:$C$19,3,FALSE),Configuracion!$C$5)</x:f>
        <x:v>0.5</x:v>
      </x:c>
      <x:c r="J37" s="22" t="n">
        <x:f>ROUNDUP(F37*(1+I37)/Configuracion!$B$3,0)*Configuracion!$B$3</x:f>
        <x:v>60400</x:v>
      </x:c>
      <x:c r="K37" s="22" t="n">
        <x:f>ROUNDUP(J37*(1-Configuracion!$B$4)/Configuracion!$B$3,0)*Configuracion!$B$3</x:f>
        <x:v>57400</x:v>
      </x:c>
      <x:c r="L37" s="21" t="str"/>
      <x:c r="M37" s="21" t="str">
        <x:v>Unidad</x:v>
      </x:c>
      <x:c r="N37" s="21" t="str">
        <x:v>Revisar OCR</x:v>
      </x:c>
      <x:c r="O37" s="21" t="n">
        <x:v>18</x:v>
      </x:c>
      <x:c r="P37" s="21" t="str">
        <x:v>Extraído por OCR del PDF; revisar imagen si el código o texto aparece con dudas.</x:v>
      </x:c>
      <x:c r="Q37" s="21" t="str">
        <x:v>18120 CAJA DE HERRAMIENTA 23" CIERRE METALICO</x:v>
      </x:c>
    </x:row>
    <x:row r="38">
      <x:c r="A38" s="21" t="n">
        <x:v>37</x:v>
      </x:c>
      <x:c r="B38" s="21" t="str">
        <x:v>Set de Herramientas Completos / Individuales</x:v>
      </x:c>
      <x:c r="C38" s="21" t="str">
        <x:v>L8100</x:v>
      </x:c>
      <x:c r="D38" s="21" t="str">
        <x:v>CAJA DE HERRAMIENTAS 14" CIERRE METALICO</x:v>
      </x:c>
      <x:c r="E38" s="21" t="str">
        <x:v>Herramienta o conjunto para organización y trabajo de taller. Producto práctico para mecánica, mantenimiento y uso profesional.</x:v>
      </x:c>
      <x:c r="F38" s="40" t="n">
        <x:v>14120.08</x:v>
      </x:c>
      <x:c r="G38" s="23" t="n">
        <x:f>IFERROR(VLOOKUP(B38,Configuracion!$A$9:$C$19,2,FALSE),Configuracion!$B$5)</x:f>
        <x:v>0.28</x:v>
      </x:c>
      <x:c r="H38" s="22" t="n">
        <x:f>ROUNDUP(F38*(1+G38)/Configuracion!$B$3,0)*Configuracion!$B$3</x:f>
        <x:v>18100</x:v>
      </x:c>
      <x:c r="I38" s="23" t="n">
        <x:f>IFERROR(VLOOKUP(B38,Configuracion!$A$9:$C$19,3,FALSE),Configuracion!$C$5)</x:f>
        <x:v>0.5</x:v>
      </x:c>
      <x:c r="J38" s="22" t="n">
        <x:f>ROUNDUP(F38*(1+I38)/Configuracion!$B$3,0)*Configuracion!$B$3</x:f>
        <x:v>21200</x:v>
      </x:c>
      <x:c r="K38" s="22" t="n">
        <x:f>ROUNDUP(J38*(1-Configuracion!$B$4)/Configuracion!$B$3,0)*Configuracion!$B$3</x:f>
        <x:v>20200</x:v>
      </x:c>
      <x:c r="L38" s="21" t="str"/>
      <x:c r="M38" s="21" t="str">
        <x:v>Unidad</x:v>
      </x:c>
      <x:c r="N38" s="21" t="str">
        <x:v>Revisar OCR</x:v>
      </x:c>
      <x:c r="O38" s="21" t="n">
        <x:v>18</x:v>
      </x:c>
      <x:c r="P38" s="21" t="str">
        <x:v>Extraído por OCR del PDF; revisar imagen si el código o texto aparece con dudas.</x:v>
      </x:c>
      <x:c r="Q38" s="21" t="str">
        <x:v>L8100 CAJA DE HERRAMIENTAS 14" CIERRE METALICO</x:v>
      </x:c>
    </x:row>
    <x:row r="39">
      <x:c r="A39" s="21" t="n">
        <x:v>38</x:v>
      </x:c>
      <x:c r="B39" s="21" t="str">
        <x:v>Set de Herramientas Completos / Individuales</x:v>
      </x:c>
      <x:c r="C39" s="21" t="str">
        <x:v>MOCL12-9</x:v>
      </x:c>
      <x:c r="D39" s="21" t="str">
        <x:v>MOCHILA PORTA HERRAMIENTAS</x:v>
      </x:c>
      <x:c r="E39" s="21" t="str">
        <x:v>Herramienta o conjunto para organización y trabajo de taller. Producto práctico para mecánica, mantenimiento y uso profesional.</x:v>
      </x:c>
      <x:c r="F39" s="40" t="n">
        <x:v>56788</x:v>
      </x:c>
      <x:c r="G39" s="23" t="n">
        <x:f>IFERROR(VLOOKUP(B39,Configuracion!$A$9:$C$19,2,FALSE),Configuracion!$B$5)</x:f>
        <x:v>0.28</x:v>
      </x:c>
      <x:c r="H39" s="22" t="n">
        <x:f>ROUNDUP(F39*(1+G39)/Configuracion!$B$3,0)*Configuracion!$B$3</x:f>
        <x:v>72700</x:v>
      </x:c>
      <x:c r="I39" s="23" t="n">
        <x:f>IFERROR(VLOOKUP(B39,Configuracion!$A$9:$C$19,3,FALSE),Configuracion!$C$5)</x:f>
        <x:v>0.5</x:v>
      </x:c>
      <x:c r="J39" s="22" t="n">
        <x:f>ROUNDUP(F39*(1+I39)/Configuracion!$B$3,0)*Configuracion!$B$3</x:f>
        <x:v>85200</x:v>
      </x:c>
      <x:c r="K39" s="22" t="n">
        <x:f>ROUNDUP(J39*(1-Configuracion!$B$4)/Configuracion!$B$3,0)*Configuracion!$B$3</x:f>
        <x:v>81000</x:v>
      </x:c>
      <x:c r="L39" s="21" t="str"/>
      <x:c r="M39" s="21" t="str">
        <x:v>Unidad</x:v>
      </x:c>
      <x:c r="N39" s="21" t="str">
        <x:v>OK</x:v>
      </x:c>
      <x:c r="O39" s="21" t="n">
        <x:v>19</x:v>
      </x:c>
      <x:c r="P39" s="21" t="str">
        <x:v>Extraído del PDF.</x:v>
      </x:c>
      <x:c r="Q39" s="21" t="str">
        <x:v>MOCL12-9 - MOCHILA PORTA HERRAMIENTAS</x:v>
      </x:c>
    </x:row>
    <x:row r="40">
      <x:c r="A40" s="21" t="n">
        <x:v>39</x:v>
      </x:c>
      <x:c r="B40" s="21" t="str">
        <x:v>Set de Herramientas Completos / Individuales</x:v>
      </x:c>
      <x:c r="C40" s="21" t="str">
        <x:v>SHL108-7</x:v>
      </x:c>
      <x:c r="D40" s="21" t="str">
        <x:v>SET 108 PIEZAS GARDEN PLUS</x:v>
      </x:c>
      <x:c r="E40" s="21" t="str">
        <x:v>Herramienta o conjunto para organización y trabajo de taller. Producto práctico para mecánica, mantenimiento y uso profesional.</x:v>
      </x:c>
      <x:c r="F40" s="40" t="n">
        <x:v>89700</x:v>
      </x:c>
      <x:c r="G40" s="23" t="n">
        <x:f>IFERROR(VLOOKUP(B40,Configuracion!$A$9:$C$19,2,FALSE),Configuracion!$B$5)</x:f>
        <x:v>0.28</x:v>
      </x:c>
      <x:c r="H40" s="22" t="n">
        <x:f>ROUNDUP(F40*(1+G40)/Configuracion!$B$3,0)*Configuracion!$B$3</x:f>
        <x:v>114900</x:v>
      </x:c>
      <x:c r="I40" s="23" t="n">
        <x:f>IFERROR(VLOOKUP(B40,Configuracion!$A$9:$C$19,3,FALSE),Configuracion!$C$5)</x:f>
        <x:v>0.5</x:v>
      </x:c>
      <x:c r="J40" s="22" t="n">
        <x:f>ROUNDUP(F40*(1+I40)/Configuracion!$B$3,0)*Configuracion!$B$3</x:f>
        <x:v>134600</x:v>
      </x:c>
      <x:c r="K40" s="22" t="n">
        <x:f>ROUNDUP(J40*(1-Configuracion!$B$4)/Configuracion!$B$3,0)*Configuracion!$B$3</x:f>
        <x:v>127900</x:v>
      </x:c>
      <x:c r="L40" s="21" t="str"/>
      <x:c r="M40" s="21" t="str">
        <x:v>Unidad</x:v>
      </x:c>
      <x:c r="N40" s="21" t="str">
        <x:v>OK</x:v>
      </x:c>
      <x:c r="O40" s="21" t="n">
        <x:v>19</x:v>
      </x:c>
      <x:c r="P40" s="21" t="str">
        <x:v>Extraído del PDF.</x:v>
      </x:c>
      <x:c r="Q40" s="21" t="str">
        <x:v>SHL108-7 // SET 108 PIEZAS GARDEN PLUS</x:v>
      </x:c>
    </x:row>
    <x:row r="41">
      <x:c r="A41" s="21" t="n">
        <x:v>40</x:v>
      </x:c>
      <x:c r="B41" s="21" t="str">
        <x:v>Set de Herramientas Completos / Individuales</x:v>
      </x:c>
      <x:c r="C41" s="21" t="str">
        <x:v>11032</x:v>
      </x:c>
      <x:c r="D41" s="21" t="str">
        <x:v>SET TERRAJAS Y MACHOS 40 P</x:v>
      </x:c>
      <x:c r="E41" s="21" t="str">
        <x:v>Herramienta o conjunto para organización y trabajo de taller. Producto práctico para mecánica, mantenimiento y uso profesional.</x:v>
      </x:c>
      <x:c r="F41" s="40" t="n">
        <x:v>61655.73</x:v>
      </x:c>
      <x:c r="G41" s="23" t="n">
        <x:f>IFERROR(VLOOKUP(B41,Configuracion!$A$9:$C$19,2,FALSE),Configuracion!$B$5)</x:f>
        <x:v>0.28</x:v>
      </x:c>
      <x:c r="H41" s="22" t="n">
        <x:f>ROUNDUP(F41*(1+G41)/Configuracion!$B$3,0)*Configuracion!$B$3</x:f>
        <x:v>79000</x:v>
      </x:c>
      <x:c r="I41" s="23" t="n">
        <x:f>IFERROR(VLOOKUP(B41,Configuracion!$A$9:$C$19,3,FALSE),Configuracion!$C$5)</x:f>
        <x:v>0.5</x:v>
      </x:c>
      <x:c r="J41" s="22" t="n">
        <x:f>ROUNDUP(F41*(1+I41)/Configuracion!$B$3,0)*Configuracion!$B$3</x:f>
        <x:v>92500</x:v>
      </x:c>
      <x:c r="K41" s="22" t="n">
        <x:f>ROUNDUP(J41*(1-Configuracion!$B$4)/Configuracion!$B$3,0)*Configuracion!$B$3</x:f>
        <x:v>87900</x:v>
      </x:c>
      <x:c r="L41" s="21" t="str"/>
      <x:c r="M41" s="21" t="str">
        <x:v>Unidad</x:v>
      </x:c>
      <x:c r="N41" s="21" t="str">
        <x:v>OK</x:v>
      </x:c>
      <x:c r="O41" s="21" t="n">
        <x:v>19</x:v>
      </x:c>
      <x:c r="P41" s="21" t="str">
        <x:v>Extraído del PDF.</x:v>
      </x:c>
      <x:c r="Q41" s="21" t="str">
        <x:v>11032 SET TERRAJAS Y MACHOS 40 P</x:v>
      </x:c>
    </x:row>
    <x:row r="42">
      <x:c r="A42" s="21" t="n">
        <x:v>41</x:v>
      </x:c>
      <x:c r="B42" s="21" t="str">
        <x:v>Set de Herramientas Completos / Individuales</x:v>
      </x:c>
      <x:c r="C42" s="21" t="str">
        <x:v>LQCP125</x:v>
      </x:c>
      <x:c r="D42" s="21" t="str">
        <x:v>CAJA DE HERRAMIENTAS PLEGABLE 64 piezas</x:v>
      </x:c>
      <x:c r="E42" s="21" t="str">
        <x:v>Herramienta o conjunto para organización y trabajo de taller. Producto práctico para mecánica, mantenimiento y uso profesional.</x:v>
      </x:c>
      <x:c r="F42" s="40" t="n">
        <x:v>181720</x:v>
      </x:c>
      <x:c r="G42" s="23" t="n">
        <x:f>IFERROR(VLOOKUP(B42,Configuracion!$A$9:$C$19,2,FALSE),Configuracion!$B$5)</x:f>
        <x:v>0.28</x:v>
      </x:c>
      <x:c r="H42" s="22" t="n">
        <x:f>ROUNDUP(F42*(1+G42)/Configuracion!$B$3,0)*Configuracion!$B$3</x:f>
        <x:v>232700</x:v>
      </x:c>
      <x:c r="I42" s="23" t="n">
        <x:f>IFERROR(VLOOKUP(B42,Configuracion!$A$9:$C$19,3,FALSE),Configuracion!$C$5)</x:f>
        <x:v>0.5</x:v>
      </x:c>
      <x:c r="J42" s="22" t="n">
        <x:f>ROUNDUP(F42*(1+I42)/Configuracion!$B$3,0)*Configuracion!$B$3</x:f>
        <x:v>272600</x:v>
      </x:c>
      <x:c r="K42" s="22" t="n">
        <x:f>ROUNDUP(J42*(1-Configuracion!$B$4)/Configuracion!$B$3,0)*Configuracion!$B$3</x:f>
        <x:v>259000</x:v>
      </x:c>
      <x:c r="L42" s="21" t="str"/>
      <x:c r="M42" s="21" t="str">
        <x:v>Unidad</x:v>
      </x:c>
      <x:c r="N42" s="21" t="str">
        <x:v>OK</x:v>
      </x:c>
      <x:c r="O42" s="21" t="n">
        <x:v>20</x:v>
      </x:c>
      <x:c r="P42" s="21" t="str">
        <x:v>Extraído del PDF.</x:v>
      </x:c>
      <x:c r="Q42" s="21" t="str">
        <x:v>LQCP125 // CAJA DE HERRAMIENTAS PLEGABLE 64 piezas</x:v>
      </x:c>
    </x:row>
    <x:row r="43">
      <x:c r="A43" s="21" t="n">
        <x:v>42</x:v>
      </x:c>
      <x:c r="B43" s="21" t="str">
        <x:v>Set de Herramientas Completos / Individuales</x:v>
      </x:c>
      <x:c r="C43" s="21" t="str">
        <x:v>11048</x:v>
      </x:c>
      <x:c r="D43" s="21" t="str">
        <x:v>JUEGO DE PUNTAS Y BOCALLAVES 35 PCS</x:v>
      </x:c>
      <x:c r="E43" s="21" t="str">
        <x:v>Herramienta o conjunto para organización y trabajo de taller. Producto práctico para mecánica, mantenimiento y uso profesional.</x:v>
      </x:c>
      <x:c r="F43" s="40" t="n">
        <x:v>53543.14</x:v>
      </x:c>
      <x:c r="G43" s="23" t="n">
        <x:f>IFERROR(VLOOKUP(B43,Configuracion!$A$9:$C$19,2,FALSE),Configuracion!$B$5)</x:f>
        <x:v>0.28</x:v>
      </x:c>
      <x:c r="H43" s="22" t="n">
        <x:f>ROUNDUP(F43*(1+G43)/Configuracion!$B$3,0)*Configuracion!$B$3</x:f>
        <x:v>68600</x:v>
      </x:c>
      <x:c r="I43" s="23" t="n">
        <x:f>IFERROR(VLOOKUP(B43,Configuracion!$A$9:$C$19,3,FALSE),Configuracion!$C$5)</x:f>
        <x:v>0.5</x:v>
      </x:c>
      <x:c r="J43" s="22" t="n">
        <x:f>ROUNDUP(F43*(1+I43)/Configuracion!$B$3,0)*Configuracion!$B$3</x:f>
        <x:v>80400</x:v>
      </x:c>
      <x:c r="K43" s="22" t="n">
        <x:f>ROUNDUP(J43*(1-Configuracion!$B$4)/Configuracion!$B$3,0)*Configuracion!$B$3</x:f>
        <x:v>76400</x:v>
      </x:c>
      <x:c r="L43" s="21" t="str"/>
      <x:c r="M43" s="21" t="str">
        <x:v>Unidad</x:v>
      </x:c>
      <x:c r="N43" s="21" t="str">
        <x:v>OK</x:v>
      </x:c>
      <x:c r="O43" s="21" t="n">
        <x:v>20</x:v>
      </x:c>
      <x:c r="P43" s="21" t="str">
        <x:v>Extraído del PDF.</x:v>
      </x:c>
      <x:c r="Q43" s="21" t="str">
        <x:v>11048 - JUEGO DE PUNTAS Y BOCALLAVES 35 PCS</x:v>
      </x:c>
    </x:row>
    <x:row r="44">
      <x:c r="A44" s="21" t="n">
        <x:v>43</x:v>
      </x:c>
      <x:c r="B44" s="21" t="str">
        <x:v>Set de Herramientas Completos / Individuales</x:v>
      </x:c>
      <x:c r="C44" s="21" t="str">
        <x:v>SHL150-9</x:v>
      </x:c>
      <x:c r="D44" s="21" t="str">
        <x:v>SET RACING LUSQTOFF 150 PIEZAS</x:v>
      </x:c>
      <x:c r="E44" s="21" t="str">
        <x:v>Herramienta o conjunto para organización y trabajo de taller. Producto práctico para mecánica, mantenimiento y uso profesional.</x:v>
      </x:c>
      <x:c r="F44" s="40" t="n">
        <x:v>275825</x:v>
      </x:c>
      <x:c r="G44" s="23" t="n">
        <x:f>IFERROR(VLOOKUP(B44,Configuracion!$A$9:$C$19,2,FALSE),Configuracion!$B$5)</x:f>
        <x:v>0.28</x:v>
      </x:c>
      <x:c r="H44" s="22" t="n">
        <x:f>ROUNDUP(F44*(1+G44)/Configuracion!$B$3,0)*Configuracion!$B$3</x:f>
        <x:v>353100</x:v>
      </x:c>
      <x:c r="I44" s="23" t="n">
        <x:f>IFERROR(VLOOKUP(B44,Configuracion!$A$9:$C$19,3,FALSE),Configuracion!$C$5)</x:f>
        <x:v>0.5</x:v>
      </x:c>
      <x:c r="J44" s="22" t="n">
        <x:f>ROUNDUP(F44*(1+I44)/Configuracion!$B$3,0)*Configuracion!$B$3</x:f>
        <x:v>413800</x:v>
      </x:c>
      <x:c r="K44" s="22" t="n">
        <x:f>ROUNDUP(J44*(1-Configuracion!$B$4)/Configuracion!$B$3,0)*Configuracion!$B$3</x:f>
        <x:v>393200</x:v>
      </x:c>
      <x:c r="L44" s="21" t="str"/>
      <x:c r="M44" s="21" t="str">
        <x:v>Unidad</x:v>
      </x:c>
      <x:c r="N44" s="21" t="str">
        <x:v>OK</x:v>
      </x:c>
      <x:c r="O44" s="21" t="n">
        <x:v>20</x:v>
      </x:c>
      <x:c r="P44" s="21" t="str">
        <x:v>Extraído del PDF.</x:v>
      </x:c>
      <x:c r="Q44" s="21" t="str">
        <x:v>SHL150-9 // SET RACING LUSQTOFF 150 PIEZAS</x:v>
      </x:c>
    </x:row>
    <x:row r="45">
      <x:c r="A45" s="21" t="n">
        <x:v>44</x:v>
      </x:c>
      <x:c r="B45" s="21" t="str">
        <x:v>Set de Herramientas Completos / Individuales</x:v>
      </x:c>
      <x:c r="C45" s="21" t="str">
        <x:v>L4906</x:v>
      </x:c>
      <x:c r="D45" s="21" t="str">
        <x:v>JUEGO DE 14 HERRAMIENTAS</x:v>
      </x:c>
      <x:c r="E45" s="21" t="str">
        <x:v>Herramienta o conjunto para organización y trabajo de taller. Producto práctico para mecánica, mantenimiento y uso profesional.</x:v>
      </x:c>
      <x:c r="F45" s="40" t="n">
        <x:v>27583</x:v>
      </x:c>
      <x:c r="G45" s="23" t="n">
        <x:f>IFERROR(VLOOKUP(B45,Configuracion!$A$9:$C$19,2,FALSE),Configuracion!$B$5)</x:f>
        <x:v>0.28</x:v>
      </x:c>
      <x:c r="H45" s="22" t="n">
        <x:f>ROUNDUP(F45*(1+G45)/Configuracion!$B$3,0)*Configuracion!$B$3</x:f>
        <x:v>35400</x:v>
      </x:c>
      <x:c r="I45" s="23" t="n">
        <x:f>IFERROR(VLOOKUP(B45,Configuracion!$A$9:$C$19,3,FALSE),Configuracion!$C$5)</x:f>
        <x:v>0.5</x:v>
      </x:c>
      <x:c r="J45" s="22" t="n">
        <x:f>ROUNDUP(F45*(1+I45)/Configuracion!$B$3,0)*Configuracion!$B$3</x:f>
        <x:v>41400</x:v>
      </x:c>
      <x:c r="K45" s="22" t="n">
        <x:f>ROUNDUP(J45*(1-Configuracion!$B$4)/Configuracion!$B$3,0)*Configuracion!$B$3</x:f>
        <x:v>39400</x:v>
      </x:c>
      <x:c r="L45" s="21" t="str"/>
      <x:c r="M45" s="21" t="str">
        <x:v>Unidad</x:v>
      </x:c>
      <x:c r="N45" s="21" t="str">
        <x:v>Revisar OCR</x:v>
      </x:c>
      <x:c r="O45" s="21" t="n">
        <x:v>21</x:v>
      </x:c>
      <x:c r="P45" s="21" t="str">
        <x:v>Extraído por OCR del PDF; revisar imagen si el código o texto aparece con dudas.</x:v>
      </x:c>
      <x:c r="Q45" s="21" t="str">
        <x:v>L4906 JUEGO DE 14 HERRAMIENTAS</x:v>
      </x:c>
    </x:row>
    <x:row r="46">
      <x:c r="A46" s="21" t="n">
        <x:v>45</x:v>
      </x:c>
      <x:c r="B46" s="21" t="str">
        <x:v>Set de Herramientas Completos / Individuales</x:v>
      </x:c>
      <x:c r="C46" s="21" t="str">
        <x:v>L4904</x:v>
      </x:c>
      <x:c r="D46" s="21" t="str">
        <x:v>JUEGO DE 67 HERRAMIENTAS</x:v>
      </x:c>
      <x:c r="E46" s="21" t="str">
        <x:v>Herramienta o conjunto para organización y trabajo de taller. Producto práctico para mecánica, mantenimiento y uso profesional.</x:v>
      </x:c>
      <x:c r="F46" s="40" t="n">
        <x:v>80869.58</x:v>
      </x:c>
      <x:c r="G46" s="23" t="n">
        <x:f>IFERROR(VLOOKUP(B46,Configuracion!$A$9:$C$19,2,FALSE),Configuracion!$B$5)</x:f>
        <x:v>0.28</x:v>
      </x:c>
      <x:c r="H46" s="22" t="n">
        <x:f>ROUNDUP(F46*(1+G46)/Configuracion!$B$3,0)*Configuracion!$B$3</x:f>
        <x:v>103600</x:v>
      </x:c>
      <x:c r="I46" s="23" t="n">
        <x:f>IFERROR(VLOOKUP(B46,Configuracion!$A$9:$C$19,3,FALSE),Configuracion!$C$5)</x:f>
        <x:v>0.5</x:v>
      </x:c>
      <x:c r="J46" s="22" t="n">
        <x:f>ROUNDUP(F46*(1+I46)/Configuracion!$B$3,0)*Configuracion!$B$3</x:f>
        <x:v>121400</x:v>
      </x:c>
      <x:c r="K46" s="22" t="n">
        <x:f>ROUNDUP(J46*(1-Configuracion!$B$4)/Configuracion!$B$3,0)*Configuracion!$B$3</x:f>
        <x:v>115400</x:v>
      </x:c>
      <x:c r="L46" s="21" t="str"/>
      <x:c r="M46" s="21" t="str">
        <x:v>Unidad</x:v>
      </x:c>
      <x:c r="N46" s="21" t="str">
        <x:v>Revisar OCR</x:v>
      </x:c>
      <x:c r="O46" s="21" t="n">
        <x:v>21</x:v>
      </x:c>
      <x:c r="P46" s="21" t="str">
        <x:v>Extraído por OCR del PDF; revisar imagen si el código o texto aparece con dudas.</x:v>
      </x:c>
      <x:c r="Q46" s="21" t="str">
        <x:v>L4904 - JUEGO DE 67 HERRAMIENTAS</x:v>
      </x:c>
    </x:row>
    <x:row r="47">
      <x:c r="A47" s="21" t="n">
        <x:v>46</x:v>
      </x:c>
      <x:c r="B47" s="21" t="str">
        <x:v>Set de Herramientas Completos / Individuales</x:v>
      </x:c>
      <x:c r="C47" s="21" t="str">
        <x:v>SHL9-7</x:v>
      </x:c>
      <x:c r="D47" s="21" t="str">
        <x:v>SET 9 PIEZAS</x:v>
      </x:c>
      <x:c r="E47" s="21" t="str">
        <x:v>Herramienta o conjunto para organización y trabajo de taller. Producto práctico para mecánica, mantenimiento y uso profesional.</x:v>
      </x:c>
      <x:c r="F47" s="40" t="n">
        <x:v>33900</x:v>
      </x:c>
      <x:c r="G47" s="23" t="n">
        <x:f>IFERROR(VLOOKUP(B47,Configuracion!$A$9:$C$19,2,FALSE),Configuracion!$B$5)</x:f>
        <x:v>0.28</x:v>
      </x:c>
      <x:c r="H47" s="22" t="n">
        <x:f>ROUNDUP(F47*(1+G47)/Configuracion!$B$3,0)*Configuracion!$B$3</x:f>
        <x:v>43400</x:v>
      </x:c>
      <x:c r="I47" s="23" t="n">
        <x:f>IFERROR(VLOOKUP(B47,Configuracion!$A$9:$C$19,3,FALSE),Configuracion!$C$5)</x:f>
        <x:v>0.5</x:v>
      </x:c>
      <x:c r="J47" s="22" t="n">
        <x:f>ROUNDUP(F47*(1+I47)/Configuracion!$B$3,0)*Configuracion!$B$3</x:f>
        <x:v>50900</x:v>
      </x:c>
      <x:c r="K47" s="22" t="n">
        <x:f>ROUNDUP(J47*(1-Configuracion!$B$4)/Configuracion!$B$3,0)*Configuracion!$B$3</x:f>
        <x:v>48400</x:v>
      </x:c>
      <x:c r="L47" s="21" t="str"/>
      <x:c r="M47" s="21" t="str">
        <x:v>Unidad</x:v>
      </x:c>
      <x:c r="N47" s="21" t="str">
        <x:v>OK</x:v>
      </x:c>
      <x:c r="O47" s="21" t="n">
        <x:v>21</x:v>
      </x:c>
      <x:c r="P47" s="21" t="str">
        <x:v>Extraído del PDF.</x:v>
      </x:c>
      <x:c r="Q47" s="21" t="str">
        <x:v>SHL9-7 // SET 9 PIEZAS</x:v>
      </x:c>
    </x:row>
    <x:row r="48">
      <x:c r="A48" s="21" t="n">
        <x:v>47</x:v>
      </x:c>
      <x:c r="B48" s="21" t="str">
        <x:v>Set de Herramientas Completos / Individuales</x:v>
      </x:c>
      <x:c r="C48" s="21" t="str">
        <x:v>14950</x:v>
      </x:c>
      <x:c r="D48" s="21" t="str">
        <x:v>CAJA DE HERRAMIENTAS 46PIEZAS</x:v>
      </x:c>
      <x:c r="E48" s="21" t="str">
        <x:v>Herramienta o conjunto para organización y trabajo de taller. Producto práctico para mecánica, mantenimiento y uso profesional.</x:v>
      </x:c>
      <x:c r="F48" s="40" t="n">
        <x:v>55740.96</x:v>
      </x:c>
      <x:c r="G48" s="23" t="n">
        <x:f>IFERROR(VLOOKUP(B48,Configuracion!$A$9:$C$19,2,FALSE),Configuracion!$B$5)</x:f>
        <x:v>0.28</x:v>
      </x:c>
      <x:c r="H48" s="22" t="n">
        <x:f>ROUNDUP(F48*(1+G48)/Configuracion!$B$3,0)*Configuracion!$B$3</x:f>
        <x:v>71400</x:v>
      </x:c>
      <x:c r="I48" s="23" t="n">
        <x:f>IFERROR(VLOOKUP(B48,Configuracion!$A$9:$C$19,3,FALSE),Configuracion!$C$5)</x:f>
        <x:v>0.5</x:v>
      </x:c>
      <x:c r="J48" s="22" t="n">
        <x:f>ROUNDUP(F48*(1+I48)/Configuracion!$B$3,0)*Configuracion!$B$3</x:f>
        <x:v>83700</x:v>
      </x:c>
      <x:c r="K48" s="22" t="n">
        <x:f>ROUNDUP(J48*(1-Configuracion!$B$4)/Configuracion!$B$3,0)*Configuracion!$B$3</x:f>
        <x:v>79600</x:v>
      </x:c>
      <x:c r="L48" s="21" t="str"/>
      <x:c r="M48" s="21" t="str">
        <x:v>Unidad</x:v>
      </x:c>
      <x:c r="N48" s="21" t="str">
        <x:v>Revisar OCR</x:v>
      </x:c>
      <x:c r="O48" s="21" t="n">
        <x:v>22</x:v>
      </x:c>
      <x:c r="P48" s="21" t="str">
        <x:v>Extraído por OCR del PDF; revisar imagen si el código o texto aparece con dudas.</x:v>
      </x:c>
      <x:c r="Q48" s="21" t="str">
        <x:v>14950 CAJA DE HERRAMIENTAS 46PIEZAS</x:v>
      </x:c>
    </x:row>
    <x:row r="49">
      <x:c r="A49" s="21" t="n">
        <x:v>48</x:v>
      </x:c>
      <x:c r="B49" s="21" t="str">
        <x:v>Set de Herramientas Completos / Individuales</x:v>
      </x:c>
      <x:c r="C49" s="21" t="str">
        <x:v>JBL11-8</x:v>
      </x:c>
      <x:c r="D49" s="21" t="str">
        <x:v>JUEGO BOCALLAVES 1/2 11 PZAS</x:v>
      </x:c>
      <x:c r="E49" s="21" t="str">
        <x:v>Herramienta o conjunto para organización y trabajo de taller. Producto práctico para mecánica, mantenimiento y uso profesional.</x:v>
      </x:c>
      <x:c r="F49" s="40" t="n">
        <x:v>38940</x:v>
      </x:c>
      <x:c r="G49" s="23" t="n">
        <x:f>IFERROR(VLOOKUP(B49,Configuracion!$A$9:$C$19,2,FALSE),Configuracion!$B$5)</x:f>
        <x:v>0.28</x:v>
      </x:c>
      <x:c r="H49" s="22" t="n">
        <x:f>ROUNDUP(F49*(1+G49)/Configuracion!$B$3,0)*Configuracion!$B$3</x:f>
        <x:v>49900</x:v>
      </x:c>
      <x:c r="I49" s="23" t="n">
        <x:f>IFERROR(VLOOKUP(B49,Configuracion!$A$9:$C$19,3,FALSE),Configuracion!$C$5)</x:f>
        <x:v>0.5</x:v>
      </x:c>
      <x:c r="J49" s="22" t="n">
        <x:f>ROUNDUP(F49*(1+I49)/Configuracion!$B$3,0)*Configuracion!$B$3</x:f>
        <x:v>58500</x:v>
      </x:c>
      <x:c r="K49" s="22" t="n">
        <x:f>ROUNDUP(J49*(1-Configuracion!$B$4)/Configuracion!$B$3,0)*Configuracion!$B$3</x:f>
        <x:v>55600</x:v>
      </x:c>
      <x:c r="L49" s="21" t="str"/>
      <x:c r="M49" s="21" t="str">
        <x:v>Unidad</x:v>
      </x:c>
      <x:c r="N49" s="21" t="str">
        <x:v>Revisar OCR</x:v>
      </x:c>
      <x:c r="O49" s="21" t="n">
        <x:v>22</x:v>
      </x:c>
      <x:c r="P49" s="21" t="str">
        <x:v>Extraído por OCR del PDF; revisar imagen si el código o texto aparece con dudas.</x:v>
      </x:c>
      <x:c r="Q49" s="21" t="str">
        <x:v>JBL11-8 // JUEGO BOCALLAVES 1/2 11 PZAS</x:v>
      </x:c>
    </x:row>
    <x:row r="50">
      <x:c r="A50" s="21" t="n">
        <x:v>49</x:v>
      </x:c>
      <x:c r="B50" s="21" t="str">
        <x:v>Set de Herramientas Completos / Individuales</x:v>
      </x:c>
      <x:c r="C50" s="21" t="str">
        <x:v>15725</x:v>
      </x:c>
      <x:c r="D50" s="21" t="str">
        <x:v>JUEGO DE BOCALLAVE Y LLAVE CRIQUE 12 PZAS ENCASTRE 1/2</x:v>
      </x:c>
      <x:c r="E50" s="21" t="str">
        <x:v>Herramienta o conjunto para organización y trabajo de taller. Producto práctico para mecánica, mantenimiento y uso profesional.</x:v>
      </x:c>
      <x:c r="F50" s="40" t="n">
        <x:v>38321.91</x:v>
      </x:c>
      <x:c r="G50" s="23" t="n">
        <x:f>IFERROR(VLOOKUP(B50,Configuracion!$A$9:$C$19,2,FALSE),Configuracion!$B$5)</x:f>
        <x:v>0.28</x:v>
      </x:c>
      <x:c r="H50" s="22" t="n">
        <x:f>ROUNDUP(F50*(1+G50)/Configuracion!$B$3,0)*Configuracion!$B$3</x:f>
        <x:v>49100</x:v>
      </x:c>
      <x:c r="I50" s="23" t="n">
        <x:f>IFERROR(VLOOKUP(B50,Configuracion!$A$9:$C$19,3,FALSE),Configuracion!$C$5)</x:f>
        <x:v>0.5</x:v>
      </x:c>
      <x:c r="J50" s="22" t="n">
        <x:f>ROUNDUP(F50*(1+I50)/Configuracion!$B$3,0)*Configuracion!$B$3</x:f>
        <x:v>57500</x:v>
      </x:c>
      <x:c r="K50" s="22" t="n">
        <x:f>ROUNDUP(J50*(1-Configuracion!$B$4)/Configuracion!$B$3,0)*Configuracion!$B$3</x:f>
        <x:v>54700</x:v>
      </x:c>
      <x:c r="L50" s="21" t="str"/>
      <x:c r="M50" s="21" t="str">
        <x:v>Unidad</x:v>
      </x:c>
      <x:c r="N50" s="21" t="str">
        <x:v>OK</x:v>
      </x:c>
      <x:c r="O50" s="21" t="n">
        <x:v>22</x:v>
      </x:c>
      <x:c r="P50" s="21" t="str">
        <x:v>Extraído del PDF.</x:v>
      </x:c>
      <x:c r="Q50" s="21" t="str">
        <x:v>15725 JUEGO DE BOCALLAVE Y LLAVE CRIQUE 12 PZAS ENCASTRE 1/2</x:v>
      </x:c>
    </x:row>
    <x:row r="51">
      <x:c r="A51" s="21" t="n">
        <x:v>50</x:v>
      </x:c>
      <x:c r="B51" s="21" t="str">
        <x:v>Set de Herramientas Completos / Individuales</x:v>
      </x:c>
      <x:c r="C51" s="21" t="str">
        <x:v>JLC22-9</x:v>
      </x:c>
      <x:c r="D51" s="21" t="str">
        <x:v>JUEGO DE 22 LLAVES COMBINADAS</x:v>
      </x:c>
      <x:c r="E51" s="21" t="str">
        <x:v>Herramienta o conjunto para organización y trabajo de taller. Producto práctico para mecánica, mantenimiento y uso profesional.</x:v>
      </x:c>
      <x:c r="F51" s="40" t="n">
        <x:v>94105</x:v>
      </x:c>
      <x:c r="G51" s="23" t="n">
        <x:f>IFERROR(VLOOKUP(B51,Configuracion!$A$9:$C$19,2,FALSE),Configuracion!$B$5)</x:f>
        <x:v>0.28</x:v>
      </x:c>
      <x:c r="H51" s="22" t="n">
        <x:f>ROUNDUP(F51*(1+G51)/Configuracion!$B$3,0)*Configuracion!$B$3</x:f>
        <x:v>120500</x:v>
      </x:c>
      <x:c r="I51" s="23" t="n">
        <x:f>IFERROR(VLOOKUP(B51,Configuracion!$A$9:$C$19,3,FALSE),Configuracion!$C$5)</x:f>
        <x:v>0.5</x:v>
      </x:c>
      <x:c r="J51" s="22" t="n">
        <x:f>ROUNDUP(F51*(1+I51)/Configuracion!$B$3,0)*Configuracion!$B$3</x:f>
        <x:v>141200</x:v>
      </x:c>
      <x:c r="K51" s="22" t="n">
        <x:f>ROUNDUP(J51*(1-Configuracion!$B$4)/Configuracion!$B$3,0)*Configuracion!$B$3</x:f>
        <x:v>134200</x:v>
      </x:c>
      <x:c r="L51" s="21" t="str"/>
      <x:c r="M51" s="21" t="str">
        <x:v>Unidad</x:v>
      </x:c>
      <x:c r="N51" s="21" t="str">
        <x:v>OK</x:v>
      </x:c>
      <x:c r="O51" s="21" t="n">
        <x:v>23</x:v>
      </x:c>
      <x:c r="P51" s="21" t="str">
        <x:v>Extraído del PDF.</x:v>
      </x:c>
      <x:c r="Q51" s="21" t="str">
        <x:v>JLC22-9 // JUEGO DE 22 LLAVES COMBINADAS</x:v>
      </x:c>
    </x:row>
    <x:row r="52">
      <x:c r="A52" s="21" t="n">
        <x:v>51</x:v>
      </x:c>
      <x:c r="B52" s="21" t="str">
        <x:v>Set de Herramientas Completos / Individuales</x:v>
      </x:c>
      <x:c r="C52" s="21" t="str">
        <x:v>JLC12-9</x:v>
      </x:c>
      <x:c r="D52" s="21" t="str">
        <x:v>JUEGO DE LLAVES COMBINADAS 12 PCS</x:v>
      </x:c>
      <x:c r="E52" s="21" t="str">
        <x:v>Herramienta o conjunto para organización y trabajo de taller. Producto práctico para mecánica, mantenimiento y uso profesional.</x:v>
      </x:c>
      <x:c r="F52" s="40" t="n">
        <x:v>87287.8</x:v>
      </x:c>
      <x:c r="G52" s="23" t="n">
        <x:f>IFERROR(VLOOKUP(B52,Configuracion!$A$9:$C$19,2,FALSE),Configuracion!$B$5)</x:f>
        <x:v>0.28</x:v>
      </x:c>
      <x:c r="H52" s="22" t="n">
        <x:f>ROUNDUP(F52*(1+G52)/Configuracion!$B$3,0)*Configuracion!$B$3</x:f>
        <x:v>111800</x:v>
      </x:c>
      <x:c r="I52" s="23" t="n">
        <x:f>IFERROR(VLOOKUP(B52,Configuracion!$A$9:$C$19,3,FALSE),Configuracion!$C$5)</x:f>
        <x:v>0.5</x:v>
      </x:c>
      <x:c r="J52" s="22" t="n">
        <x:f>ROUNDUP(F52*(1+I52)/Configuracion!$B$3,0)*Configuracion!$B$3</x:f>
        <x:v>131000</x:v>
      </x:c>
      <x:c r="K52" s="22" t="n">
        <x:f>ROUNDUP(J52*(1-Configuracion!$B$4)/Configuracion!$B$3,0)*Configuracion!$B$3</x:f>
        <x:v>124500</x:v>
      </x:c>
      <x:c r="L52" s="21" t="str"/>
      <x:c r="M52" s="21" t="str">
        <x:v>Unidad</x:v>
      </x:c>
      <x:c r="N52" s="21" t="str">
        <x:v>OK</x:v>
      </x:c>
      <x:c r="O52" s="21" t="n">
        <x:v>23</x:v>
      </x:c>
      <x:c r="P52" s="21" t="str">
        <x:v>Extraído del PDF.</x:v>
      </x:c>
      <x:c r="Q52" s="21" t="str">
        <x:v>JLC12-9 // JUEGO DE LLAVES COMBINADAS 12 PCS</x:v>
      </x:c>
    </x:row>
    <x:row r="53">
      <x:c r="A53" s="21" t="n">
        <x:v>52</x:v>
      </x:c>
      <x:c r="B53" s="21" t="str">
        <x:v>Set de Herramientas Completos / Individuales</x:v>
      </x:c>
      <x:c r="C53" s="21" t="str">
        <x:v>JLC9-9</x:v>
      </x:c>
      <x:c r="D53" s="21" t="str">
        <x:v>JUEGO DE LLAVES COMBINADAS CON CRIQUE - 9 PI EZAS</x:v>
      </x:c>
      <x:c r="E53" s="21" t="str">
        <x:v>Herramienta o conjunto para organización y trabajo de taller. Producto práctico para mecánica, mantenimiento y uso profesional.</x:v>
      </x:c>
      <x:c r="F53" s="40" t="n">
        <x:v>70857.15</x:v>
      </x:c>
      <x:c r="G53" s="23" t="n">
        <x:f>IFERROR(VLOOKUP(B53,Configuracion!$A$9:$C$19,2,FALSE),Configuracion!$B$5)</x:f>
        <x:v>0.28</x:v>
      </x:c>
      <x:c r="H53" s="22" t="n">
        <x:f>ROUNDUP(F53*(1+G53)/Configuracion!$B$3,0)*Configuracion!$B$3</x:f>
        <x:v>90700</x:v>
      </x:c>
      <x:c r="I53" s="23" t="n">
        <x:f>IFERROR(VLOOKUP(B53,Configuracion!$A$9:$C$19,3,FALSE),Configuracion!$C$5)</x:f>
        <x:v>0.5</x:v>
      </x:c>
      <x:c r="J53" s="22" t="n">
        <x:f>ROUNDUP(F53*(1+I53)/Configuracion!$B$3,0)*Configuracion!$B$3</x:f>
        <x:v>106300</x:v>
      </x:c>
      <x:c r="K53" s="22" t="n">
        <x:f>ROUNDUP(J53*(1-Configuracion!$B$4)/Configuracion!$B$3,0)*Configuracion!$B$3</x:f>
        <x:v>101000</x:v>
      </x:c>
      <x:c r="L53" s="21" t="str"/>
      <x:c r="M53" s="21" t="str">
        <x:v>Unidad</x:v>
      </x:c>
      <x:c r="N53" s="21" t="str">
        <x:v>Revisar OCR</x:v>
      </x:c>
      <x:c r="O53" s="21" t="n">
        <x:v>23</x:v>
      </x:c>
      <x:c r="P53" s="21" t="str">
        <x:v>Extraído por OCR del PDF; revisar imagen si el código o texto aparece con dudas.</x:v>
      </x:c>
      <x:c r="Q53" s="21" t="str">
        <x:v>JLC9-9 JUEGO DE LLAVES COMBINADAS CON CRIQUE - 9 PI EZAS</x:v>
      </x:c>
    </x:row>
    <x:row r="54">
      <x:c r="A54" s="21" t="n">
        <x:v>53</x:v>
      </x:c>
      <x:c r="B54" s="21" t="str">
        <x:v>Set de Herramientas Completos / Individuales</x:v>
      </x:c>
      <x:c r="C54" s="21" t="str">
        <x:v>L6908</x:v>
      </x:c>
      <x:c r="D54" s="21" t="str">
        <x:v>JUEGO DE 6 DESTORNILLADORES PASANTES</x:v>
      </x:c>
      <x:c r="E54" s="21" t="str">
        <x:v>Herramienta o conjunto para organización y trabajo de taller. Producto práctico para mecánica, mantenimiento y uso profesional.</x:v>
      </x:c>
      <x:c r="F54" s="40" t="n">
        <x:v>15677.15</x:v>
      </x:c>
      <x:c r="G54" s="23" t="n">
        <x:f>IFERROR(VLOOKUP(B54,Configuracion!$A$9:$C$19,2,FALSE),Configuracion!$B$5)</x:f>
        <x:v>0.28</x:v>
      </x:c>
      <x:c r="H54" s="22" t="n">
        <x:f>ROUNDUP(F54*(1+G54)/Configuracion!$B$3,0)*Configuracion!$B$3</x:f>
        <x:v>20100</x:v>
      </x:c>
      <x:c r="I54" s="23" t="n">
        <x:f>IFERROR(VLOOKUP(B54,Configuracion!$A$9:$C$19,3,FALSE),Configuracion!$C$5)</x:f>
        <x:v>0.5</x:v>
      </x:c>
      <x:c r="J54" s="22" t="n">
        <x:f>ROUNDUP(F54*(1+I54)/Configuracion!$B$3,0)*Configuracion!$B$3</x:f>
        <x:v>23600</x:v>
      </x:c>
      <x:c r="K54" s="22" t="n">
        <x:f>ROUNDUP(J54*(1-Configuracion!$B$4)/Configuracion!$B$3,0)*Configuracion!$B$3</x:f>
        <x:v>22500</x:v>
      </x:c>
      <x:c r="L54" s="21" t="str"/>
      <x:c r="M54" s="21" t="str">
        <x:v>Unidad</x:v>
      </x:c>
      <x:c r="N54" s="21" t="str">
        <x:v>OK</x:v>
      </x:c>
      <x:c r="O54" s="21" t="n">
        <x:v>24</x:v>
      </x:c>
      <x:c r="P54" s="21" t="str">
        <x:v>Extraído del PDF.</x:v>
      </x:c>
      <x:c r="Q54" s="21" t="str">
        <x:v>L6908 - JUEGO DE 6 DESTORNILLADORES PASANTES</x:v>
      </x:c>
    </x:row>
    <x:row r="55">
      <x:c r="A55" s="21" t="n">
        <x:v>54</x:v>
      </x:c>
      <x:c r="B55" s="21" t="str">
        <x:v>Set de Herramientas Completos / Individuales</x:v>
      </x:c>
      <x:c r="C55" s="21" t="str">
        <x:v>16028</x:v>
      </x:c>
      <x:c r="D55" s="21" t="str">
        <x:v>SET DESTORNILLADORES 10 PCS</x:v>
      </x:c>
      <x:c r="E55" s="21" t="str">
        <x:v>Herramienta o conjunto para organización y trabajo de taller. Producto práctico para mecánica, mantenimiento y uso profesional.</x:v>
      </x:c>
      <x:c r="F55" s="40" t="n">
        <x:v>13935.24</x:v>
      </x:c>
      <x:c r="G55" s="23" t="n">
        <x:f>IFERROR(VLOOKUP(B55,Configuracion!$A$9:$C$19,2,FALSE),Configuracion!$B$5)</x:f>
        <x:v>0.28</x:v>
      </x:c>
      <x:c r="H55" s="22" t="n">
        <x:f>ROUNDUP(F55*(1+G55)/Configuracion!$B$3,0)*Configuracion!$B$3</x:f>
        <x:v>17900</x:v>
      </x:c>
      <x:c r="I55" s="23" t="n">
        <x:f>IFERROR(VLOOKUP(B55,Configuracion!$A$9:$C$19,3,FALSE),Configuracion!$C$5)</x:f>
        <x:v>0.5</x:v>
      </x:c>
      <x:c r="J55" s="22" t="n">
        <x:f>ROUNDUP(F55*(1+I55)/Configuracion!$B$3,0)*Configuracion!$B$3</x:f>
        <x:v>21000</x:v>
      </x:c>
      <x:c r="K55" s="22" t="n">
        <x:f>ROUNDUP(J55*(1-Configuracion!$B$4)/Configuracion!$B$3,0)*Configuracion!$B$3</x:f>
        <x:v>20000</x:v>
      </x:c>
      <x:c r="L55" s="21" t="str"/>
      <x:c r="M55" s="21" t="str">
        <x:v>Unidad</x:v>
      </x:c>
      <x:c r="N55" s="21" t="str">
        <x:v>OK</x:v>
      </x:c>
      <x:c r="O55" s="21" t="n">
        <x:v>24</x:v>
      </x:c>
      <x:c r="P55" s="21" t="str">
        <x:v>Extraído del PDF.</x:v>
      </x:c>
      <x:c r="Q55" s="21" t="str">
        <x:v>16028 SET DESTORNILLADORES 10 PCS</x:v>
      </x:c>
    </x:row>
    <x:row r="56">
      <x:c r="A56" s="21" t="n">
        <x:v>55</x:v>
      </x:c>
      <x:c r="B56" s="21" t="str">
        <x:v>Set de Herramientas Completos / Individuales</x:v>
      </x:c>
      <x:c r="C56" s="21" t="str">
        <x:v>L6025</x:v>
      </x:c>
      <x:c r="D56" s="21" t="str">
        <x:v>SET DESTORNILLADORES 18 PCS</x:v>
      </x:c>
      <x:c r="E56" s="21" t="str">
        <x:v>Herramienta o conjunto para organización y trabajo de taller. Producto práctico para mecánica, mantenimiento y uso profesional.</x:v>
      </x:c>
      <x:c r="F56" s="40" t="n">
        <x:v>20902.86</x:v>
      </x:c>
      <x:c r="G56" s="23" t="n">
        <x:f>IFERROR(VLOOKUP(B56,Configuracion!$A$9:$C$19,2,FALSE),Configuracion!$B$5)</x:f>
        <x:v>0.28</x:v>
      </x:c>
      <x:c r="H56" s="22" t="n">
        <x:f>ROUNDUP(F56*(1+G56)/Configuracion!$B$3,0)*Configuracion!$B$3</x:f>
        <x:v>26800</x:v>
      </x:c>
      <x:c r="I56" s="23" t="n">
        <x:f>IFERROR(VLOOKUP(B56,Configuracion!$A$9:$C$19,3,FALSE),Configuracion!$C$5)</x:f>
        <x:v>0.5</x:v>
      </x:c>
      <x:c r="J56" s="22" t="n">
        <x:f>ROUNDUP(F56*(1+I56)/Configuracion!$B$3,0)*Configuracion!$B$3</x:f>
        <x:v>31400</x:v>
      </x:c>
      <x:c r="K56" s="22" t="n">
        <x:f>ROUNDUP(J56*(1-Configuracion!$B$4)/Configuracion!$B$3,0)*Configuracion!$B$3</x:f>
        <x:v>29900</x:v>
      </x:c>
      <x:c r="L56" s="21" t="str"/>
      <x:c r="M56" s="21" t="str">
        <x:v>Unidad</x:v>
      </x:c>
      <x:c r="N56" s="21" t="str">
        <x:v>OK</x:v>
      </x:c>
      <x:c r="O56" s="21" t="n">
        <x:v>24</x:v>
      </x:c>
      <x:c r="P56" s="21" t="str">
        <x:v>Extraído del PDF.</x:v>
      </x:c>
      <x:c r="Q56" s="21" t="str">
        <x:v>L6025 SET DESTORNILLADORES 18 PCS</x:v>
      </x:c>
    </x:row>
    <x:row r="57">
      <x:c r="A57" s="21" t="n">
        <x:v>56</x:v>
      </x:c>
      <x:c r="B57" s="21" t="str">
        <x:v>Set de Herramientas Completos / Individuales</x:v>
      </x:c>
      <x:c r="C57" s="21" t="str">
        <x:v>L6914</x:v>
      </x:c>
      <x:c r="D57" s="21" t="str">
        <x:v>JUEGO DE 6 DESTORNILLADORES TORX</x:v>
      </x:c>
      <x:c r="E57" s="21" t="str">
        <x:v>Herramienta o conjunto para organización y trabajo de taller. Producto práctico para mecánica, mantenimiento y uso profesional.</x:v>
      </x:c>
      <x:c r="F57" s="40" t="n">
        <x:v>14806.2</x:v>
      </x:c>
      <x:c r="G57" s="23" t="n">
        <x:f>IFERROR(VLOOKUP(B57,Configuracion!$A$9:$C$19,2,FALSE),Configuracion!$B$5)</x:f>
        <x:v>0.28</x:v>
      </x:c>
      <x:c r="H57" s="22" t="n">
        <x:f>ROUNDUP(F57*(1+G57)/Configuracion!$B$3,0)*Configuracion!$B$3</x:f>
        <x:v>19000</x:v>
      </x:c>
      <x:c r="I57" s="23" t="n">
        <x:f>IFERROR(VLOOKUP(B57,Configuracion!$A$9:$C$19,3,FALSE),Configuracion!$C$5)</x:f>
        <x:v>0.5</x:v>
      </x:c>
      <x:c r="J57" s="22" t="n">
        <x:f>ROUNDUP(F57*(1+I57)/Configuracion!$B$3,0)*Configuracion!$B$3</x:f>
        <x:v>22300</x:v>
      </x:c>
      <x:c r="K57" s="22" t="n">
        <x:f>ROUNDUP(J57*(1-Configuracion!$B$4)/Configuracion!$B$3,0)*Configuracion!$B$3</x:f>
        <x:v>21200</x:v>
      </x:c>
      <x:c r="L57" s="21" t="str"/>
      <x:c r="M57" s="21" t="str">
        <x:v>Unidad</x:v>
      </x:c>
      <x:c r="N57" s="21" t="str">
        <x:v>Revisar OCR</x:v>
      </x:c>
      <x:c r="O57" s="21" t="n">
        <x:v>25</x:v>
      </x:c>
      <x:c r="P57" s="21" t="str">
        <x:v>Extraído por OCR del PDF; revisar imagen si el código o texto aparece con dudas.</x:v>
      </x:c>
      <x:c r="Q57" s="21" t="str">
        <x:v>L6914 JUEGO DE 6 DESTORNILLADORES TORX</x:v>
      </x:c>
    </x:row>
    <x:row r="58">
      <x:c r="A58" s="21" t="n">
        <x:v>57</x:v>
      </x:c>
      <x:c r="B58" s="21" t="str">
        <x:v>Set de Herramientas Completos / Individuales</x:v>
      </x:c>
      <x:c r="C58" s="21" t="str">
        <x:v>11023</x:v>
      </x:c>
      <x:c r="D58" s="21" t="str">
        <x:v>SACA FILTROS A FLEJE 73/85MM</x:v>
      </x:c>
      <x:c r="E58" s="21" t="str">
        <x:v>Producto Lusqtoff para uso profesional, taller, hogar o mantenimiento. Consultar disponibilidad y garantía oficial.</x:v>
      </x:c>
      <x:c r="F58" s="40" t="n">
        <x:v>6490.08</x:v>
      </x:c>
      <x:c r="G58" s="23" t="n">
        <x:f>IFERROR(VLOOKUP(B58,Configuracion!$A$9:$C$19,2,FALSE),Configuracion!$B$5)</x:f>
        <x:v>0.28</x:v>
      </x:c>
      <x:c r="H58" s="22" t="n">
        <x:f>ROUNDUP(F58*(1+G58)/Configuracion!$B$3,0)*Configuracion!$B$3</x:f>
        <x:v>8400</x:v>
      </x:c>
      <x:c r="I58" s="23" t="n">
        <x:f>IFERROR(VLOOKUP(B58,Configuracion!$A$9:$C$19,3,FALSE),Configuracion!$C$5)</x:f>
        <x:v>0.5</x:v>
      </x:c>
      <x:c r="J58" s="22" t="n">
        <x:f>ROUNDUP(F58*(1+I58)/Configuracion!$B$3,0)*Configuracion!$B$3</x:f>
        <x:v>9800</x:v>
      </x:c>
      <x:c r="K58" s="22" t="n">
        <x:f>ROUNDUP(J58*(1-Configuracion!$B$4)/Configuracion!$B$3,0)*Configuracion!$B$3</x:f>
        <x:v>9400</x:v>
      </x:c>
      <x:c r="L58" s="21" t="str"/>
      <x:c r="M58" s="21" t="str">
        <x:v>Unidad</x:v>
      </x:c>
      <x:c r="N58" s="21" t="str">
        <x:v>Revisar OCR</x:v>
      </x:c>
      <x:c r="O58" s="21" t="n">
        <x:v>25</x:v>
      </x:c>
      <x:c r="P58" s="21" t="str">
        <x:v>Extraído por OCR del PDF; revisar imagen si el código o texto aparece con dudas.</x:v>
      </x:c>
      <x:c r="Q58" s="21" t="str">
        <x:v>11023 - SACA FILTROS A FLEJE 73/85MM</x:v>
      </x:c>
    </x:row>
    <x:row r="59">
      <x:c r="A59" s="21" t="n">
        <x:v>58</x:v>
      </x:c>
      <x:c r="B59" s="21" t="str">
        <x:v>Set de Herramientas Completos / Individuales</x:v>
      </x:c>
      <x:c r="C59" s="21" t="str">
        <x:v>L1024</x:v>
      </x:c>
      <x:c r="D59" s="21" t="str">
        <x:v>SACA FILTROS A FLEJE 85/95MM</x:v>
      </x:c>
      <x:c r="E59" s="21" t="str">
        <x:v>Producto Lusqtoff para uso profesional, taller, hogar o mantenimiento. Consultar disponibilidad y garantía oficial.</x:v>
      </x:c>
      <x:c r="F59" s="40" t="n">
        <x:v>7301.34</x:v>
      </x:c>
      <x:c r="G59" s="23" t="n">
        <x:f>IFERROR(VLOOKUP(B59,Configuracion!$A$9:$C$19,2,FALSE),Configuracion!$B$5)</x:f>
        <x:v>0.28</x:v>
      </x:c>
      <x:c r="H59" s="22" t="n">
        <x:f>ROUNDUP(F59*(1+G59)/Configuracion!$B$3,0)*Configuracion!$B$3</x:f>
        <x:v>9400</x:v>
      </x:c>
      <x:c r="I59" s="23" t="n">
        <x:f>IFERROR(VLOOKUP(B59,Configuracion!$A$9:$C$19,3,FALSE),Configuracion!$C$5)</x:f>
        <x:v>0.5</x:v>
      </x:c>
      <x:c r="J59" s="22" t="n">
        <x:f>ROUNDUP(F59*(1+I59)/Configuracion!$B$3,0)*Configuracion!$B$3</x:f>
        <x:v>11000</x:v>
      </x:c>
      <x:c r="K59" s="22" t="n">
        <x:f>ROUNDUP(J59*(1-Configuracion!$B$4)/Configuracion!$B$3,0)*Configuracion!$B$3</x:f>
        <x:v>10500</x:v>
      </x:c>
      <x:c r="L59" s="21" t="str"/>
      <x:c r="M59" s="21" t="str">
        <x:v>Unidad</x:v>
      </x:c>
      <x:c r="N59" s="21" t="str">
        <x:v>OK</x:v>
      </x:c>
      <x:c r="O59" s="21" t="n">
        <x:v>25</x:v>
      </x:c>
      <x:c r="P59" s="21" t="str">
        <x:v>Extraído del PDF.</x:v>
      </x:c>
      <x:c r="Q59" s="21" t="str">
        <x:v>L1024 - SACA FILTROS A FLEJE 85/95MM</x:v>
      </x:c>
    </x:row>
    <x:row r="60">
      <x:c r="A60" s="21" t="n">
        <x:v>59</x:v>
      </x:c>
      <x:c r="B60" s="21" t="str">
        <x:v>Set de Herramientas Completos / Individuales</x:v>
      </x:c>
      <x:c r="C60" s="21" t="str">
        <x:v>L3406</x:v>
      </x:c>
      <x:c r="D60" s="21" t="str">
        <x:v>LLAVE PARA CANO 3"</x:v>
      </x:c>
      <x:c r="E60" s="21" t="str">
        <x:v>Herramienta o conjunto para organización y trabajo de taller. Producto práctico para mecánica, mantenimiento y uso profesional.</x:v>
      </x:c>
      <x:c r="F60" s="40" t="n">
        <x:v>48773.34</x:v>
      </x:c>
      <x:c r="G60" s="23" t="n">
        <x:f>IFERROR(VLOOKUP(B60,Configuracion!$A$9:$C$19,2,FALSE),Configuracion!$B$5)</x:f>
        <x:v>0.28</x:v>
      </x:c>
      <x:c r="H60" s="22" t="n">
        <x:f>ROUNDUP(F60*(1+G60)/Configuracion!$B$3,0)*Configuracion!$B$3</x:f>
        <x:v>62500</x:v>
      </x:c>
      <x:c r="I60" s="23" t="n">
        <x:f>IFERROR(VLOOKUP(B60,Configuracion!$A$9:$C$19,3,FALSE),Configuracion!$C$5)</x:f>
        <x:v>0.5</x:v>
      </x:c>
      <x:c r="J60" s="22" t="n">
        <x:f>ROUNDUP(F60*(1+I60)/Configuracion!$B$3,0)*Configuracion!$B$3</x:f>
        <x:v>73200</x:v>
      </x:c>
      <x:c r="K60" s="22" t="n">
        <x:f>ROUNDUP(J60*(1-Configuracion!$B$4)/Configuracion!$B$3,0)*Configuracion!$B$3</x:f>
        <x:v>69600</x:v>
      </x:c>
      <x:c r="L60" s="21" t="str"/>
      <x:c r="M60" s="21" t="str">
        <x:v>Unidad</x:v>
      </x:c>
      <x:c r="N60" s="21" t="str">
        <x:v>Revisar OCR</x:v>
      </x:c>
      <x:c r="O60" s="21" t="n">
        <x:v>26</x:v>
      </x:c>
      <x:c r="P60" s="21" t="str">
        <x:v>Extraído por OCR del PDF; revisar imagen si el código o texto aparece con dudas.</x:v>
      </x:c>
      <x:c r="Q60" s="21" t="str">
        <x:v>L3406 LLAVE PARA CANO 3"</x:v>
      </x:c>
    </x:row>
    <x:row r="61">
      <x:c r="A61" s="21" t="n">
        <x:v>60</x:v>
      </x:c>
      <x:c r="B61" s="21" t="str">
        <x:v>Set de Herramientas Completos / Individuales</x:v>
      </x:c>
      <x:c r="C61" s="21" t="str">
        <x:v>L4274</x:v>
      </x:c>
      <x:c r="D61" s="21" t="str">
        <x:v>PINZA PICO DE LORO 12” 300mm PRO</x:v>
      </x:c>
      <x:c r="E61" s="21" t="str">
        <x:v>Herramienta o conjunto para organización y trabajo de taller. Producto práctico para mecánica, mantenimiento y uso profesional.</x:v>
      </x:c>
      <x:c r="F61" s="40" t="n">
        <x:v>12246.89</x:v>
      </x:c>
      <x:c r="G61" s="23" t="n">
        <x:f>IFERROR(VLOOKUP(B61,Configuracion!$A$9:$C$19,2,FALSE),Configuracion!$B$5)</x:f>
        <x:v>0.28</x:v>
      </x:c>
      <x:c r="H61" s="22" t="n">
        <x:f>ROUNDUP(F61*(1+G61)/Configuracion!$B$3,0)*Configuracion!$B$3</x:f>
        <x:v>15700</x:v>
      </x:c>
      <x:c r="I61" s="23" t="n">
        <x:f>IFERROR(VLOOKUP(B61,Configuracion!$A$9:$C$19,3,FALSE),Configuracion!$C$5)</x:f>
        <x:v>0.5</x:v>
      </x:c>
      <x:c r="J61" s="22" t="n">
        <x:f>ROUNDUP(F61*(1+I61)/Configuracion!$B$3,0)*Configuracion!$B$3</x:f>
        <x:v>18400</x:v>
      </x:c>
      <x:c r="K61" s="22" t="n">
        <x:f>ROUNDUP(J61*(1-Configuracion!$B$4)/Configuracion!$B$3,0)*Configuracion!$B$3</x:f>
        <x:v>17500</x:v>
      </x:c>
      <x:c r="L61" s="21" t="str"/>
      <x:c r="M61" s="21" t="str">
        <x:v>Unidad</x:v>
      </x:c>
      <x:c r="N61" s="21" t="str">
        <x:v>Revisar OCR</x:v>
      </x:c>
      <x:c r="O61" s="21" t="n">
        <x:v>26</x:v>
      </x:c>
      <x:c r="P61" s="21" t="str">
        <x:v>Extraído por OCR del PDF; revisar imagen si el código o texto aparece con dudas.</x:v>
      </x:c>
      <x:c r="Q61" s="21" t="str">
        <x:v>L4274 // PINZA PICO DE LORO 12” 300mm PRO</x:v>
      </x:c>
    </x:row>
    <x:row r="62">
      <x:c r="A62" s="21" t="n">
        <x:v>61</x:v>
      </x:c>
      <x:c r="B62" s="21" t="str">
        <x:v>Set de Herramientas Completos / Individuales</x:v>
      </x:c>
      <x:c r="C62" s="21" t="str">
        <x:v>L4010</x:v>
      </x:c>
      <x:c r="D62" s="21" t="str">
        <x:v>PINZA UNIVERSAL 8” (200mm)</x:v>
      </x:c>
      <x:c r="E62" s="21" t="str">
        <x:v>Herramienta o conjunto para organización y trabajo de taller. Producto práctico para mecánica, mantenimiento y uso profesional.</x:v>
      </x:c>
      <x:c r="F62" s="40" t="n">
        <x:v>7697.71</x:v>
      </x:c>
      <x:c r="G62" s="23" t="n">
        <x:f>IFERROR(VLOOKUP(B62,Configuracion!$A$9:$C$19,2,FALSE),Configuracion!$B$5)</x:f>
        <x:v>0.28</x:v>
      </x:c>
      <x:c r="H62" s="22" t="n">
        <x:f>ROUNDUP(F62*(1+G62)/Configuracion!$B$3,0)*Configuracion!$B$3</x:f>
        <x:v>9900</x:v>
      </x:c>
      <x:c r="I62" s="23" t="n">
        <x:f>IFERROR(VLOOKUP(B62,Configuracion!$A$9:$C$19,3,FALSE),Configuracion!$C$5)</x:f>
        <x:v>0.5</x:v>
      </x:c>
      <x:c r="J62" s="22" t="n">
        <x:f>ROUNDUP(F62*(1+I62)/Configuracion!$B$3,0)*Configuracion!$B$3</x:f>
        <x:v>11600</x:v>
      </x:c>
      <x:c r="K62" s="22" t="n">
        <x:f>ROUNDUP(J62*(1-Configuracion!$B$4)/Configuracion!$B$3,0)*Configuracion!$B$3</x:f>
        <x:v>11100</x:v>
      </x:c>
      <x:c r="L62" s="21" t="str"/>
      <x:c r="M62" s="21" t="str">
        <x:v>Unidad</x:v>
      </x:c>
      <x:c r="N62" s="21" t="str">
        <x:v>OK</x:v>
      </x:c>
      <x:c r="O62" s="21" t="n">
        <x:v>26</x:v>
      </x:c>
      <x:c r="P62" s="21" t="str">
        <x:v>Extraído del PDF.</x:v>
      </x:c>
      <x:c r="Q62" s="21" t="str">
        <x:v>L4010 // PINZA UNIVERSAL 8” (200mm)</x:v>
      </x:c>
    </x:row>
    <x:row r="63">
      <x:c r="A63" s="21" t="n">
        <x:v>62</x:v>
      </x:c>
      <x:c r="B63" s="21" t="str">
        <x:v>Set de Herramientas Completos / Individuales</x:v>
      </x:c>
      <x:c r="C63" s="21" t="str">
        <x:v>4024</x:v>
      </x:c>
      <x:c r="D63" s="21" t="str">
        <x:v>ALICATE CORTE OBLICUO CUERDA DE PIANO 7” (18 Omm)</x:v>
      </x:c>
      <x:c r="E63" s="21" t="str">
        <x:v>Producto orientado a corte, desbaste y terminación. Recomendado para metal, obra y mantenimiento general.</x:v>
      </x:c>
      <x:c r="F63" s="40" t="n">
        <x:v>9271.97</x:v>
      </x:c>
      <x:c r="G63" s="23" t="n">
        <x:f>IFERROR(VLOOKUP(B63,Configuracion!$A$9:$C$19,2,FALSE),Configuracion!$B$5)</x:f>
        <x:v>0.28</x:v>
      </x:c>
      <x:c r="H63" s="22" t="n">
        <x:f>ROUNDUP(F63*(1+G63)/Configuracion!$B$3,0)*Configuracion!$B$3</x:f>
        <x:v>11900</x:v>
      </x:c>
      <x:c r="I63" s="23" t="n">
        <x:f>IFERROR(VLOOKUP(B63,Configuracion!$A$9:$C$19,3,FALSE),Configuracion!$C$5)</x:f>
        <x:v>0.5</x:v>
      </x:c>
      <x:c r="J63" s="22" t="n">
        <x:f>ROUNDUP(F63*(1+I63)/Configuracion!$B$3,0)*Configuracion!$B$3</x:f>
        <x:v>14000</x:v>
      </x:c>
      <x:c r="K63" s="22" t="n">
        <x:f>ROUNDUP(J63*(1-Configuracion!$B$4)/Configuracion!$B$3,0)*Configuracion!$B$3</x:f>
        <x:v>13300</x:v>
      </x:c>
      <x:c r="L63" s="21" t="str"/>
      <x:c r="M63" s="21" t="str">
        <x:v>Unidad</x:v>
      </x:c>
      <x:c r="N63" s="21" t="str">
        <x:v>Revisar OCR</x:v>
      </x:c>
      <x:c r="O63" s="21" t="n">
        <x:v>27</x:v>
      </x:c>
      <x:c r="P63" s="21" t="str">
        <x:v>Extraído por OCR del PDF; revisar imagen si el código o texto aparece con dudas.</x:v>
      </x:c>
      <x:c r="Q63" s="21" t="str">
        <x:v>4024 // ALICATE CORTE OBLICUO CUERDA DE PIANO 7” (18 Omm)</x:v>
      </x:c>
    </x:row>
    <x:row r="64">
      <x:c r="A64" s="21" t="n">
        <x:v>63</x:v>
      </x:c>
      <x:c r="B64" s="21" t="str">
        <x:v>Set de Herramientas Completos / Individuales</x:v>
      </x:c>
      <x:c r="C64" s="21" t="str">
        <x:v>14032</x:v>
      </x:c>
      <x:c r="D64" s="21" t="str">
        <x:v>PINZA DE PUNTA MEDIA CAÑA 8” (200mm)</x:v>
      </x:c>
      <x:c r="E64" s="21" t="str">
        <x:v>Herramienta o conjunto para organización y trabajo de taller. Producto práctico para mecánica, mantenimiento y uso profesional.</x:v>
      </x:c>
      <x:c r="F64" s="40" t="n">
        <x:v>6472.8</x:v>
      </x:c>
      <x:c r="G64" s="23" t="n">
        <x:f>IFERROR(VLOOKUP(B64,Configuracion!$A$9:$C$19,2,FALSE),Configuracion!$B$5)</x:f>
        <x:v>0.28</x:v>
      </x:c>
      <x:c r="H64" s="22" t="n">
        <x:f>ROUNDUP(F64*(1+G64)/Configuracion!$B$3,0)*Configuracion!$B$3</x:f>
        <x:v>8300</x:v>
      </x:c>
      <x:c r="I64" s="23" t="n">
        <x:f>IFERROR(VLOOKUP(B64,Configuracion!$A$9:$C$19,3,FALSE),Configuracion!$C$5)</x:f>
        <x:v>0.5</x:v>
      </x:c>
      <x:c r="J64" s="22" t="n">
        <x:f>ROUNDUP(F64*(1+I64)/Configuracion!$B$3,0)*Configuracion!$B$3</x:f>
        <x:v>9800</x:v>
      </x:c>
      <x:c r="K64" s="22" t="n">
        <x:f>ROUNDUP(J64*(1-Configuracion!$B$4)/Configuracion!$B$3,0)*Configuracion!$B$3</x:f>
        <x:v>9400</x:v>
      </x:c>
      <x:c r="L64" s="21" t="str"/>
      <x:c r="M64" s="21" t="str">
        <x:v>Unidad</x:v>
      </x:c>
      <x:c r="N64" s="21" t="str">
        <x:v>Revisar OCR</x:v>
      </x:c>
      <x:c r="O64" s="21" t="n">
        <x:v>27</x:v>
      </x:c>
      <x:c r="P64" s="21" t="str">
        <x:v>Extraído por OCR del PDF; revisar imagen si el código o texto aparece con dudas.</x:v>
      </x:c>
      <x:c r="Q64" s="21" t="str">
        <x:v>14032 // PINZA DE PUNTA MEDIA CAÑA 8” (200mm)</x:v>
      </x:c>
    </x:row>
    <x:row r="65">
      <x:c r="A65" s="21" t="n">
        <x:v>64</x:v>
      </x:c>
      <x:c r="B65" s="21" t="str">
        <x:v>Set de Herramientas Completos / Individuales</x:v>
      </x:c>
      <x:c r="C65" s="21" t="str">
        <x:v>14070</x:v>
      </x:c>
      <x:c r="D65" s="21" t="str">
        <x:v>PINZA SACABOCADO 9” (230mm)</x:v>
      </x:c>
      <x:c r="E65" s="21" t="str">
        <x:v>Herramienta o conjunto para organización y trabajo de taller. Producto práctico para mecánica, mantenimiento y uso profesional.</x:v>
      </x:c>
      <x:c r="F65" s="40" t="n">
        <x:v>16357.22</x:v>
      </x:c>
      <x:c r="G65" s="23" t="n">
        <x:f>IFERROR(VLOOKUP(B65,Configuracion!$A$9:$C$19,2,FALSE),Configuracion!$B$5)</x:f>
        <x:v>0.28</x:v>
      </x:c>
      <x:c r="H65" s="22" t="n">
        <x:f>ROUNDUP(F65*(1+G65)/Configuracion!$B$3,0)*Configuracion!$B$3</x:f>
        <x:v>21000</x:v>
      </x:c>
      <x:c r="I65" s="23" t="n">
        <x:f>IFERROR(VLOOKUP(B65,Configuracion!$A$9:$C$19,3,FALSE),Configuracion!$C$5)</x:f>
        <x:v>0.5</x:v>
      </x:c>
      <x:c r="J65" s="22" t="n">
        <x:f>ROUNDUP(F65*(1+I65)/Configuracion!$B$3,0)*Configuracion!$B$3</x:f>
        <x:v>24600</x:v>
      </x:c>
      <x:c r="K65" s="22" t="n">
        <x:f>ROUNDUP(J65*(1-Configuracion!$B$4)/Configuracion!$B$3,0)*Configuracion!$B$3</x:f>
        <x:v>23400</x:v>
      </x:c>
      <x:c r="L65" s="21" t="str"/>
      <x:c r="M65" s="21" t="str">
        <x:v>Unidad</x:v>
      </x:c>
      <x:c r="N65" s="21" t="str">
        <x:v>Revisar OCR</x:v>
      </x:c>
      <x:c r="O65" s="21" t="n">
        <x:v>27</x:v>
      </x:c>
      <x:c r="P65" s="21" t="str">
        <x:v>Extraído por OCR del PDF; revisar imagen si el código o texto aparece con dudas.</x:v>
      </x:c>
      <x:c r="Q65" s="21" t="str">
        <x:v>14070 // PINZA SACABOCADO 9” (230mm)</x:v>
      </x:c>
    </x:row>
    <x:row r="66">
      <x:c r="A66" s="21" t="n">
        <x:v>65</x:v>
      </x:c>
      <x:c r="B66" s="21" t="str">
        <x:v>Set de Herramientas Completos / Individuales</x:v>
      </x:c>
      <x:c r="C66" s="21" t="str">
        <x:v>L4100</x:v>
      </x:c>
      <x:c r="D66" s="21" t="str">
        <x:v>JUEGO DE 3 PINZAS</x:v>
      </x:c>
      <x:c r="E66" s="21" t="str">
        <x:v>Herramienta o conjunto para organización y trabajo de taller. Producto práctico para mecánica, mantenimiento y uso profesional.</x:v>
      </x:c>
      <x:c r="F66" s="40" t="n">
        <x:v>17494.79</x:v>
      </x:c>
      <x:c r="G66" s="23" t="n">
        <x:f>IFERROR(VLOOKUP(B66,Configuracion!$A$9:$C$19,2,FALSE),Configuracion!$B$5)</x:f>
        <x:v>0.28</x:v>
      </x:c>
      <x:c r="H66" s="22" t="n">
        <x:f>ROUNDUP(F66*(1+G66)/Configuracion!$B$3,0)*Configuracion!$B$3</x:f>
        <x:v>22400</x:v>
      </x:c>
      <x:c r="I66" s="23" t="n">
        <x:f>IFERROR(VLOOKUP(B66,Configuracion!$A$9:$C$19,3,FALSE),Configuracion!$C$5)</x:f>
        <x:v>0.5</x:v>
      </x:c>
      <x:c r="J66" s="22" t="n">
        <x:f>ROUNDUP(F66*(1+I66)/Configuracion!$B$3,0)*Configuracion!$B$3</x:f>
        <x:v>26300</x:v>
      </x:c>
      <x:c r="K66" s="22" t="n">
        <x:f>ROUNDUP(J66*(1-Configuracion!$B$4)/Configuracion!$B$3,0)*Configuracion!$B$3</x:f>
        <x:v>25000</x:v>
      </x:c>
      <x:c r="L66" s="21" t="str"/>
      <x:c r="M66" s="21" t="str">
        <x:v>Unidad</x:v>
      </x:c>
      <x:c r="N66" s="21" t="str">
        <x:v>OK</x:v>
      </x:c>
      <x:c r="O66" s="21" t="n">
        <x:v>28</x:v>
      </x:c>
      <x:c r="P66" s="21" t="str">
        <x:v>Extraído del PDF.</x:v>
      </x:c>
      <x:c r="Q66" s="21" t="str">
        <x:v>L4100 - JUEGO DE 3 PINZAS</x:v>
      </x:c>
    </x:row>
    <x:row r="67">
      <x:c r="A67" s="21" t="n">
        <x:v>66</x:v>
      </x:c>
      <x:c r="B67" s="21" t="str">
        <x:v>Set de Herramientas Completos / Individuales</x:v>
      </x:c>
      <x:c r="C67" s="21" t="str">
        <x:v>14244</x:v>
      </x:c>
      <x:c r="D67" s="21" t="str">
        <x:v>PINZA UNIVERSAL 8” 200mm AISLACION 1000v</x:v>
      </x:c>
      <x:c r="E67" s="21" t="str">
        <x:v>Herramienta o conjunto para organización y trabajo de taller. Producto práctico para mecánica, mantenimiento y uso profesional.</x:v>
      </x:c>
      <x:c r="F67" s="40" t="n">
        <x:v>15308.07</x:v>
      </x:c>
      <x:c r="G67" s="23" t="n">
        <x:f>IFERROR(VLOOKUP(B67,Configuracion!$A$9:$C$19,2,FALSE),Configuracion!$B$5)</x:f>
        <x:v>0.28</x:v>
      </x:c>
      <x:c r="H67" s="22" t="n">
        <x:f>ROUNDUP(F67*(1+G67)/Configuracion!$B$3,0)*Configuracion!$B$3</x:f>
        <x:v>19600</x:v>
      </x:c>
      <x:c r="I67" s="23" t="n">
        <x:f>IFERROR(VLOOKUP(B67,Configuracion!$A$9:$C$19,3,FALSE),Configuracion!$C$5)</x:f>
        <x:v>0.5</x:v>
      </x:c>
      <x:c r="J67" s="22" t="n">
        <x:f>ROUNDUP(F67*(1+I67)/Configuracion!$B$3,0)*Configuracion!$B$3</x:f>
        <x:v>23000</x:v>
      </x:c>
      <x:c r="K67" s="22" t="n">
        <x:f>ROUNDUP(J67*(1-Configuracion!$B$4)/Configuracion!$B$3,0)*Configuracion!$B$3</x:f>
        <x:v>21900</x:v>
      </x:c>
      <x:c r="L67" s="21" t="str"/>
      <x:c r="M67" s="21" t="str">
        <x:v>Unidad</x:v>
      </x:c>
      <x:c r="N67" s="21" t="str">
        <x:v>Revisar OCR</x:v>
      </x:c>
      <x:c r="O67" s="21" t="n">
        <x:v>28</x:v>
      </x:c>
      <x:c r="P67" s="21" t="str">
        <x:v>Extraído por OCR del PDF; revisar imagen si el código o texto aparece con dudas.</x:v>
      </x:c>
      <x:c r="Q67" s="21" t="str">
        <x:v>14244 // PINZA UNIVERSAL 8” 200mm AISLACION 1000v</x:v>
      </x:c>
    </x:row>
    <x:row r="68">
      <x:c r="A68" s="21" t="n">
        <x:v>67</x:v>
      </x:c>
      <x:c r="B68" s="21" t="str">
        <x:v>Set de Herramientas Completos / Individuales</x:v>
      </x:c>
      <x:c r="C68" s="21" t="str">
        <x:v>L4078</x:v>
      </x:c>
      <x:c r="D68" s="21" t="str">
        <x:v>TENAZA CARPINTERO 8” 180mm</x:v>
      </x:c>
      <x:c r="E68" s="21" t="str">
        <x:v>Herramienta para carpintería, corte, lijado y terminación en madera. Recomendada para trabajos precisos y terminación prolija.</x:v>
      </x:c>
      <x:c r="F68" s="40" t="n">
        <x:v>6823.24</x:v>
      </x:c>
      <x:c r="G68" s="23" t="n">
        <x:f>IFERROR(VLOOKUP(B68,Configuracion!$A$9:$C$19,2,FALSE),Configuracion!$B$5)</x:f>
        <x:v>0.28</x:v>
      </x:c>
      <x:c r="H68" s="22" t="n">
        <x:f>ROUNDUP(F68*(1+G68)/Configuracion!$B$3,0)*Configuracion!$B$3</x:f>
        <x:v>8800</x:v>
      </x:c>
      <x:c r="I68" s="23" t="n">
        <x:f>IFERROR(VLOOKUP(B68,Configuracion!$A$9:$C$19,3,FALSE),Configuracion!$C$5)</x:f>
        <x:v>0.5</x:v>
      </x:c>
      <x:c r="J68" s="22" t="n">
        <x:f>ROUNDUP(F68*(1+I68)/Configuracion!$B$3,0)*Configuracion!$B$3</x:f>
        <x:v>10300</x:v>
      </x:c>
      <x:c r="K68" s="22" t="n">
        <x:f>ROUNDUP(J68*(1-Configuracion!$B$4)/Configuracion!$B$3,0)*Configuracion!$B$3</x:f>
        <x:v>9800</x:v>
      </x:c>
      <x:c r="L68" s="21" t="str"/>
      <x:c r="M68" s="21" t="str">
        <x:v>Unidad</x:v>
      </x:c>
      <x:c r="N68" s="21" t="str">
        <x:v>Revisar OCR</x:v>
      </x:c>
      <x:c r="O68" s="21" t="n">
        <x:v>28</x:v>
      </x:c>
      <x:c r="P68" s="21" t="str">
        <x:v>Extraído por OCR del PDF; revisar imagen si el código o texto aparece con dudas.</x:v>
      </x:c>
      <x:c r="Q68" s="21" t="str">
        <x:v>L4078 // TENAZA CARPINTERO 8” 180mm</x:v>
      </x:c>
    </x:row>
    <x:row r="69">
      <x:c r="A69" s="21" t="n">
        <x:v>68</x:v>
      </x:c>
      <x:c r="B69" s="21" t="str">
        <x:v>Set de Herramientas Completos / Individuales</x:v>
      </x:c>
      <x:c r="C69" s="21" t="str">
        <x:v>14260</x:v>
      </x:c>
      <x:c r="D69" s="21" t="str">
        <x:v>ALICATE CORTE OBLICUO 6” 150mm AISLACION 1000V</x:v>
      </x:c>
      <x:c r="E69" s="21" t="str">
        <x:v>Producto orientado a corte, desbaste y terminación. Recomendado para metal, obra y mantenimiento general.</x:v>
      </x:c>
      <x:c r="F69" s="40" t="n">
        <x:v>13995.83</x:v>
      </x:c>
      <x:c r="G69" s="23" t="n">
        <x:f>IFERROR(VLOOKUP(B69,Configuracion!$A$9:$C$19,2,FALSE),Configuracion!$B$5)</x:f>
        <x:v>0.28</x:v>
      </x:c>
      <x:c r="H69" s="22" t="n">
        <x:f>ROUNDUP(F69*(1+G69)/Configuracion!$B$3,0)*Configuracion!$B$3</x:f>
        <x:v>18000</x:v>
      </x:c>
      <x:c r="I69" s="23" t="n">
        <x:f>IFERROR(VLOOKUP(B69,Configuracion!$A$9:$C$19,3,FALSE),Configuracion!$C$5)</x:f>
        <x:v>0.5</x:v>
      </x:c>
      <x:c r="J69" s="22" t="n">
        <x:f>ROUNDUP(F69*(1+I69)/Configuracion!$B$3,0)*Configuracion!$B$3</x:f>
        <x:v>21000</x:v>
      </x:c>
      <x:c r="K69" s="22" t="n">
        <x:f>ROUNDUP(J69*(1-Configuracion!$B$4)/Configuracion!$B$3,0)*Configuracion!$B$3</x:f>
        <x:v>20000</x:v>
      </x:c>
      <x:c r="L69" s="21" t="str"/>
      <x:c r="M69" s="21" t="str">
        <x:v>Unidad</x:v>
      </x:c>
      <x:c r="N69" s="21" t="str">
        <x:v>Revisar OCR</x:v>
      </x:c>
      <x:c r="O69" s="21" t="n">
        <x:v>29</x:v>
      </x:c>
      <x:c r="P69" s="21" t="str">
        <x:v>Extraído por OCR del PDF; revisar imagen si el código o texto aparece con dudas.</x:v>
      </x:c>
      <x:c r="Q69" s="21" t="str">
        <x:v>14260 // ALICATE CORTE OBLICUO 6” 150mm AISLACION 1000V</x:v>
      </x:c>
    </x:row>
    <x:row r="70">
      <x:c r="A70" s="21" t="n">
        <x:v>69</x:v>
      </x:c>
      <x:c r="B70" s="21" t="str">
        <x:v>Set de Herramientas Completos / Individuales</x:v>
      </x:c>
      <x:c r="C70" s="21" t="str">
        <x:v>14248</x:v>
      </x:c>
      <x:c r="D70" s="21" t="str">
        <x:v>PINZA DE PUNTA MEDIA CAÑA 6” 150mm AISLACION 1000v</x:v>
      </x:c>
      <x:c r="E70" s="21" t="str">
        <x:v>Herramienta o conjunto para organización y trabajo de taller. Producto práctico para mecánica, mantenimiento y uso profesional.</x:v>
      </x:c>
      <x:c r="F70" s="40" t="n">
        <x:v>11809.11</x:v>
      </x:c>
      <x:c r="G70" s="23" t="n">
        <x:f>IFERROR(VLOOKUP(B70,Configuracion!$A$9:$C$19,2,FALSE),Configuracion!$B$5)</x:f>
        <x:v>0.28</x:v>
      </x:c>
      <x:c r="H70" s="22" t="n">
        <x:f>ROUNDUP(F70*(1+G70)/Configuracion!$B$3,0)*Configuracion!$B$3</x:f>
        <x:v>15200</x:v>
      </x:c>
      <x:c r="I70" s="23" t="n">
        <x:f>IFERROR(VLOOKUP(B70,Configuracion!$A$9:$C$19,3,FALSE),Configuracion!$C$5)</x:f>
        <x:v>0.5</x:v>
      </x:c>
      <x:c r="J70" s="22" t="n">
        <x:f>ROUNDUP(F70*(1+I70)/Configuracion!$B$3,0)*Configuracion!$B$3</x:f>
        <x:v>17800</x:v>
      </x:c>
      <x:c r="K70" s="22" t="n">
        <x:f>ROUNDUP(J70*(1-Configuracion!$B$4)/Configuracion!$B$3,0)*Configuracion!$B$3</x:f>
        <x:v>17000</x:v>
      </x:c>
      <x:c r="L70" s="21" t="str"/>
      <x:c r="M70" s="21" t="str">
        <x:v>Unidad</x:v>
      </x:c>
      <x:c r="N70" s="21" t="str">
        <x:v>Revisar OCR</x:v>
      </x:c>
      <x:c r="O70" s="21" t="n">
        <x:v>29</x:v>
      </x:c>
      <x:c r="P70" s="21" t="str">
        <x:v>Extraído por OCR del PDF; revisar imagen si el código o texto aparece con dudas.</x:v>
      </x:c>
      <x:c r="Q70" s="21" t="str">
        <x:v>14248 // PINZA DE PUNTA MEDIA CAÑA 6” 150mm AISLACION 1000v</x:v>
      </x:c>
    </x:row>
    <x:row r="71">
      <x:c r="A71" s="21" t="n">
        <x:v>70</x:v>
      </x:c>
      <x:c r="B71" s="21" t="str">
        <x:v>Set de Herramientas Completos / Individuales</x:v>
      </x:c>
      <x:c r="C71" s="21" t="str">
        <x:v>14254</x:v>
      </x:c>
      <x:c r="D71" s="21" t="str">
        <x:v>PINZA DE PUNTA PLANA 6” 150mm AISLACION 1000V</x:v>
      </x:c>
      <x:c r="E71" s="21" t="str">
        <x:v>Herramienta o conjunto para organización y trabajo de taller. Producto práctico para mecánica, mantenimiento y uso profesional.</x:v>
      </x:c>
      <x:c r="F71" s="40" t="n">
        <x:v>13558.05</x:v>
      </x:c>
      <x:c r="G71" s="23" t="n">
        <x:f>IFERROR(VLOOKUP(B71,Configuracion!$A$9:$C$19,2,FALSE),Configuracion!$B$5)</x:f>
        <x:v>0.28</x:v>
      </x:c>
      <x:c r="H71" s="22" t="n">
        <x:f>ROUNDUP(F71*(1+G71)/Configuracion!$B$3,0)*Configuracion!$B$3</x:f>
        <x:v>17400</x:v>
      </x:c>
      <x:c r="I71" s="23" t="n">
        <x:f>IFERROR(VLOOKUP(B71,Configuracion!$A$9:$C$19,3,FALSE),Configuracion!$C$5)</x:f>
        <x:v>0.5</x:v>
      </x:c>
      <x:c r="J71" s="22" t="n">
        <x:f>ROUNDUP(F71*(1+I71)/Configuracion!$B$3,0)*Configuracion!$B$3</x:f>
        <x:v>20400</x:v>
      </x:c>
      <x:c r="K71" s="22" t="n">
        <x:f>ROUNDUP(J71*(1-Configuracion!$B$4)/Configuracion!$B$3,0)*Configuracion!$B$3</x:f>
        <x:v>19400</x:v>
      </x:c>
      <x:c r="L71" s="21" t="str"/>
      <x:c r="M71" s="21" t="str">
        <x:v>Unidad</x:v>
      </x:c>
      <x:c r="N71" s="21" t="str">
        <x:v>Revisar OCR</x:v>
      </x:c>
      <x:c r="O71" s="21" t="n">
        <x:v>29</x:v>
      </x:c>
      <x:c r="P71" s="21" t="str">
        <x:v>Extraído por OCR del PDF; revisar imagen si el código o texto aparece con dudas.</x:v>
      </x:c>
      <x:c r="Q71" s="21" t="str">
        <x:v>14254 // PINZA DE PUNTA PLANA 6” 150mm AISLACION 1000V</x:v>
      </x:c>
    </x:row>
    <x:row r="72">
      <x:c r="A72" s="21" t="n">
        <x:v>71</x:v>
      </x:c>
      <x:c r="B72" s="21" t="str">
        <x:v>Set de Herramientas Completos / Individuales</x:v>
      </x:c>
      <x:c r="C72" s="21" t="str">
        <x:v>L4265</x:v>
      </x:c>
      <x:c r="D72" s="21" t="str">
        <x:v>JUEGO 3 PINZAS AISLADAS 1000V LUSQTOFF</x:v>
      </x:c>
      <x:c r="E72" s="21" t="str">
        <x:v>Herramienta o conjunto para organización y trabajo de taller. Producto práctico para mecánica, mantenimiento y uso profesional.</x:v>
      </x:c>
      <x:c r="F72" s="40" t="n">
        <x:v>39628.04</x:v>
      </x:c>
      <x:c r="G72" s="23" t="n">
        <x:f>IFERROR(VLOOKUP(B72,Configuracion!$A$9:$C$19,2,FALSE),Configuracion!$B$5)</x:f>
        <x:v>0.28</x:v>
      </x:c>
      <x:c r="H72" s="22" t="n">
        <x:f>ROUNDUP(F72*(1+G72)/Configuracion!$B$3,0)*Configuracion!$B$3</x:f>
        <x:v>50800</x:v>
      </x:c>
      <x:c r="I72" s="23" t="n">
        <x:f>IFERROR(VLOOKUP(B72,Configuracion!$A$9:$C$19,3,FALSE),Configuracion!$C$5)</x:f>
        <x:v>0.5</x:v>
      </x:c>
      <x:c r="J72" s="22" t="n">
        <x:f>ROUNDUP(F72*(1+I72)/Configuracion!$B$3,0)*Configuracion!$B$3</x:f>
        <x:v>59500</x:v>
      </x:c>
      <x:c r="K72" s="22" t="n">
        <x:f>ROUNDUP(J72*(1-Configuracion!$B$4)/Configuracion!$B$3,0)*Configuracion!$B$3</x:f>
        <x:v>56600</x:v>
      </x:c>
      <x:c r="L72" s="21" t="str"/>
      <x:c r="M72" s="21" t="str">
        <x:v>Unidad</x:v>
      </x:c>
      <x:c r="N72" s="21" t="str">
        <x:v>OK</x:v>
      </x:c>
      <x:c r="O72" s="21" t="n">
        <x:v>30</x:v>
      </x:c>
      <x:c r="P72" s="21" t="str">
        <x:v>Extraído del PDF.</x:v>
      </x:c>
      <x:c r="Q72" s="21" t="str">
        <x:v>L4265 JUEGO 3 PINZAS AISLADAS 1000V LUSQTOFF</x:v>
      </x:c>
    </x:row>
    <x:row r="73">
      <x:c r="A73" s="21" t="n">
        <x:v>72</x:v>
      </x:c>
      <x:c r="B73" s="21" t="str">
        <x:v>Set de Herramientas Completos / Individuales</x:v>
      </x:c>
      <x:c r="C73" s="21" t="str">
        <x:v>L4400</x:v>
      </x:c>
      <x:c r="D73" s="21" t="str">
        <x:v>PINZA DE AVIACION CORTE RECTO 10” 250mm PRO</x:v>
      </x:c>
      <x:c r="E73" s="21" t="str">
        <x:v>Producto orientado a corte, desbaste y terminación. Recomendado para metal, obra y mantenimiento general.</x:v>
      </x:c>
      <x:c r="F73" s="40" t="n">
        <x:v>9622.4</x:v>
      </x:c>
      <x:c r="G73" s="23" t="n">
        <x:f>IFERROR(VLOOKUP(B73,Configuracion!$A$9:$C$19,2,FALSE),Configuracion!$B$5)</x:f>
        <x:v>0.28</x:v>
      </x:c>
      <x:c r="H73" s="22" t="n">
        <x:f>ROUNDUP(F73*(1+G73)/Configuracion!$B$3,0)*Configuracion!$B$3</x:f>
        <x:v>12400</x:v>
      </x:c>
      <x:c r="I73" s="23" t="n">
        <x:f>IFERROR(VLOOKUP(B73,Configuracion!$A$9:$C$19,3,FALSE),Configuracion!$C$5)</x:f>
        <x:v>0.5</x:v>
      </x:c>
      <x:c r="J73" s="22" t="n">
        <x:f>ROUNDUP(F73*(1+I73)/Configuracion!$B$3,0)*Configuracion!$B$3</x:f>
        <x:v>14500</x:v>
      </x:c>
      <x:c r="K73" s="22" t="n">
        <x:f>ROUNDUP(J73*(1-Configuracion!$B$4)/Configuracion!$B$3,0)*Configuracion!$B$3</x:f>
        <x:v>13800</x:v>
      </x:c>
      <x:c r="L73" s="21" t="str"/>
      <x:c r="M73" s="21" t="str">
        <x:v>Unidad</x:v>
      </x:c>
      <x:c r="N73" s="21" t="str">
        <x:v>Revisar OCR</x:v>
      </x:c>
      <x:c r="O73" s="21" t="n">
        <x:v>30</x:v>
      </x:c>
      <x:c r="P73" s="21" t="str">
        <x:v>Extraído por OCR del PDF; revisar imagen si el código o texto aparece con dudas.</x:v>
      </x:c>
      <x:c r="Q73" s="21" t="str">
        <x:v>L4400 // PINZA DE AVIACION CORTE RECTO 10” 250mm PRO</x:v>
      </x:c>
    </x:row>
    <x:row r="74">
      <x:c r="A74" s="21" t="n">
        <x:v>73</x:v>
      </x:c>
      <x:c r="B74" s="21" t="str">
        <x:v>Set de Herramientas Completos / Individuales</x:v>
      </x:c>
      <x:c r="C74" s="21" t="str">
        <x:v>L4310</x:v>
      </x:c>
      <x:c r="D74" s="21" t="str">
        <x:v>PINZA DE PRESION CON PLATAFORMA 8” 200mm PRO</x:v>
      </x:c>
      <x:c r="E74" s="21" t="str">
        <x:v>Herramienta o conjunto para organización y trabajo de taller. Producto práctico para mecánica, mantenimiento y uso profesional.</x:v>
      </x:c>
      <x:c r="F74" s="40" t="n">
        <x:v>9797.08</x:v>
      </x:c>
      <x:c r="G74" s="23" t="n">
        <x:f>IFERROR(VLOOKUP(B74,Configuracion!$A$9:$C$19,2,FALSE),Configuracion!$B$5)</x:f>
        <x:v>0.28</x:v>
      </x:c>
      <x:c r="H74" s="22" t="n">
        <x:f>ROUNDUP(F74*(1+G74)/Configuracion!$B$3,0)*Configuracion!$B$3</x:f>
        <x:v>12600</x:v>
      </x:c>
      <x:c r="I74" s="23" t="n">
        <x:f>IFERROR(VLOOKUP(B74,Configuracion!$A$9:$C$19,3,FALSE),Configuracion!$C$5)</x:f>
        <x:v>0.5</x:v>
      </x:c>
      <x:c r="J74" s="22" t="n">
        <x:f>ROUNDUP(F74*(1+I74)/Configuracion!$B$3,0)*Configuracion!$B$3</x:f>
        <x:v>14700</x:v>
      </x:c>
      <x:c r="K74" s="22" t="n">
        <x:f>ROUNDUP(J74*(1-Configuracion!$B$4)/Configuracion!$B$3,0)*Configuracion!$B$3</x:f>
        <x:v>14000</x:v>
      </x:c>
      <x:c r="L74" s="21" t="str"/>
      <x:c r="M74" s="21" t="str">
        <x:v>Unidad</x:v>
      </x:c>
      <x:c r="N74" s="21" t="str">
        <x:v>Revisar OCR</x:v>
      </x:c>
      <x:c r="O74" s="21" t="n">
        <x:v>30</x:v>
      </x:c>
      <x:c r="P74" s="21" t="str">
        <x:v>Extraído por OCR del PDF; revisar imagen si el código o texto aparece con dudas.</x:v>
      </x:c>
      <x:c r="Q74" s="21" t="str">
        <x:v>L4310 // PINZA DE PRESION CON PLATAFORMA 8” 200mm PRO</x:v>
      </x:c>
    </x:row>
    <x:row r="75">
      <x:c r="A75" s="21" t="n">
        <x:v>74</x:v>
      </x:c>
      <x:c r="B75" s="21" t="str">
        <x:v>Set de Herramientas Completos / Individuales</x:v>
      </x:c>
      <x:c r="C75" s="21" t="str">
        <x:v>17504</x:v>
      </x:c>
      <x:c r="D75" s="21" t="str">
        <x:v>MARTILLO CARPINTERO 25MM (250 grs)</x:v>
      </x:c>
      <x:c r="E75" s="21" t="str">
        <x:v>Herramienta para carpintería, corte, lijado y terminación en madera. Recomendada para trabajos precisos y terminación prolija.</x:v>
      </x:c>
      <x:c r="F75" s="40" t="n">
        <x:v>7693.03</x:v>
      </x:c>
      <x:c r="G75" s="23" t="n">
        <x:f>IFERROR(VLOOKUP(B75,Configuracion!$A$9:$C$19,2,FALSE),Configuracion!$B$5)</x:f>
        <x:v>0.28</x:v>
      </x:c>
      <x:c r="H75" s="22" t="n">
        <x:f>ROUNDUP(F75*(1+G75)/Configuracion!$B$3,0)*Configuracion!$B$3</x:f>
        <x:v>9900</x:v>
      </x:c>
      <x:c r="I75" s="23" t="n">
        <x:f>IFERROR(VLOOKUP(B75,Configuracion!$A$9:$C$19,3,FALSE),Configuracion!$C$5)</x:f>
        <x:v>0.5</x:v>
      </x:c>
      <x:c r="J75" s="22" t="n">
        <x:f>ROUNDUP(F75*(1+I75)/Configuracion!$B$3,0)*Configuracion!$B$3</x:f>
        <x:v>11600</x:v>
      </x:c>
      <x:c r="K75" s="22" t="n">
        <x:f>ROUNDUP(J75*(1-Configuracion!$B$4)/Configuracion!$B$3,0)*Configuracion!$B$3</x:f>
        <x:v>11100</x:v>
      </x:c>
      <x:c r="L75" s="21" t="str"/>
      <x:c r="M75" s="21" t="str">
        <x:v>Unidad</x:v>
      </x:c>
      <x:c r="N75" s="21" t="str">
        <x:v>Revisar OCR</x:v>
      </x:c>
      <x:c r="O75" s="21" t="n">
        <x:v>31</x:v>
      </x:c>
      <x:c r="P75" s="21" t="str">
        <x:v>Extraído por OCR del PDF; revisar imagen si el código o texto aparece con dudas.</x:v>
      </x:c>
      <x:c r="Q75" s="21" t="str">
        <x:v>17504 MARTILLO CARPINTERO 25MM (250 grs)</x:v>
      </x:c>
    </x:row>
    <x:row r="76">
      <x:c r="A76" s="21" t="n">
        <x:v>75</x:v>
      </x:c>
      <x:c r="B76" s="21" t="str">
        <x:v>Set de Herramientas Completos / Individuales</x:v>
      </x:c>
      <x:c r="C76" s="21" t="str">
        <x:v>117512</x:v>
      </x:c>
      <x:c r="D76" s="21" t="str">
        <x:v>MARTILLO GALPONERO MANGO DE Fibra</x:v>
      </x:c>
      <x:c r="E76" s="21" t="str">
        <x:v>Herramienta o conjunto para organización y trabajo de taller. Producto práctico para mecánica, mantenimiento y uso profesional.</x:v>
      </x:c>
      <x:c r="F76" s="40" t="n">
        <x:v>10059.5</x:v>
      </x:c>
      <x:c r="G76" s="23" t="n">
        <x:f>IFERROR(VLOOKUP(B76,Configuracion!$A$9:$C$19,2,FALSE),Configuracion!$B$5)</x:f>
        <x:v>0.28</x:v>
      </x:c>
      <x:c r="H76" s="22" t="n">
        <x:f>ROUNDUP(F76*(1+G76)/Configuracion!$B$3,0)*Configuracion!$B$3</x:f>
        <x:v>12900</x:v>
      </x:c>
      <x:c r="I76" s="23" t="n">
        <x:f>IFERROR(VLOOKUP(B76,Configuracion!$A$9:$C$19,3,FALSE),Configuracion!$C$5)</x:f>
        <x:v>0.5</x:v>
      </x:c>
      <x:c r="J76" s="22" t="n">
        <x:f>ROUNDUP(F76*(1+I76)/Configuracion!$B$3,0)*Configuracion!$B$3</x:f>
        <x:v>15100</x:v>
      </x:c>
      <x:c r="K76" s="22" t="n">
        <x:f>ROUNDUP(J76*(1-Configuracion!$B$4)/Configuracion!$B$3,0)*Configuracion!$B$3</x:f>
        <x:v>14400</x:v>
      </x:c>
      <x:c r="L76" s="21" t="str"/>
      <x:c r="M76" s="21" t="str">
        <x:v>Unidad</x:v>
      </x:c>
      <x:c r="N76" s="21" t="str">
        <x:v>Revisar OCR</x:v>
      </x:c>
      <x:c r="O76" s="21" t="n">
        <x:v>31</x:v>
      </x:c>
      <x:c r="P76" s="21" t="str">
        <x:v>Extraído por OCR del PDF; revisar imagen si el código o texto aparece con dudas.</x:v>
      </x:c>
      <x:c r="Q76" s="21" t="str">
        <x:v>117512 MARTILLO GALPONERO MANGO DE Fibra</x:v>
      </x:c>
    </x:row>
    <x:row r="77">
      <x:c r="A77" s="21" t="n">
        <x:v>76</x:v>
      </x:c>
      <x:c r="B77" s="21" t="str">
        <x:v>Set de Herramientas Completos / Individuales</x:v>
      </x:c>
      <x:c r="C77" s="21" t="str">
        <x:v>17646</x:v>
      </x:c>
      <x:c r="D77" s="21" t="str">
        <x:v>PRENSA DE LIBERACION RAPIDA 36"</x:v>
      </x:c>
      <x:c r="E77" s="21" t="str">
        <x:v>Producto Lusqtoff para uso profesional, taller, hogar o mantenimiento. Consultar disponibilidad y garantía oficial.</x:v>
      </x:c>
      <x:c r="F77" s="40" t="n">
        <x:v>13064.28</x:v>
      </x:c>
      <x:c r="G77" s="23" t="n">
        <x:f>IFERROR(VLOOKUP(B77,Configuracion!$A$9:$C$19,2,FALSE),Configuracion!$B$5)</x:f>
        <x:v>0.28</x:v>
      </x:c>
      <x:c r="H77" s="22" t="n">
        <x:f>ROUNDUP(F77*(1+G77)/Configuracion!$B$3,0)*Configuracion!$B$3</x:f>
        <x:v>16800</x:v>
      </x:c>
      <x:c r="I77" s="23" t="n">
        <x:f>IFERROR(VLOOKUP(B77,Configuracion!$A$9:$C$19,3,FALSE),Configuracion!$C$5)</x:f>
        <x:v>0.5</x:v>
      </x:c>
      <x:c r="J77" s="22" t="n">
        <x:f>ROUNDUP(F77*(1+I77)/Configuracion!$B$3,0)*Configuracion!$B$3</x:f>
        <x:v>19600</x:v>
      </x:c>
      <x:c r="K77" s="22" t="n">
        <x:f>ROUNDUP(J77*(1-Configuracion!$B$4)/Configuracion!$B$3,0)*Configuracion!$B$3</x:f>
        <x:v>18700</x:v>
      </x:c>
      <x:c r="L77" s="21" t="str"/>
      <x:c r="M77" s="21" t="str">
        <x:v>Unidad</x:v>
      </x:c>
      <x:c r="N77" s="21" t="str">
        <x:v>OK</x:v>
      </x:c>
      <x:c r="O77" s="21" t="n">
        <x:v>31</x:v>
      </x:c>
      <x:c r="P77" s="21" t="str">
        <x:v>Extraído del PDF.</x:v>
      </x:c>
      <x:c r="Q77" s="21" t="str">
        <x:v>17646 PRENSA DE LIBERACION RAPIDA 36"</x:v>
      </x:c>
    </x:row>
    <x:row r="78">
      <x:c r="A78" s="21" t="n">
        <x:v>77</x:v>
      </x:c>
      <x:c r="B78" s="21" t="str">
        <x:v>Soldadoras / Accesorios</x:v>
      </x:c>
      <x:c r="C78" s="21" t="str">
        <x:v>ST-1N</x:v>
      </x:c>
      <x:c r="D78" s="21" t="str">
        <x:v>MÁSCARA FOTOSENSIBLE</x:v>
      </x:c>
      <x:c r="E78" s="21" t="str">
        <x:v>Producto Lusqtoff para uso profesional, taller, hogar o mantenimiento. Consultar disponibilidad y garantía oficial.</x:v>
      </x:c>
      <x:c r="F78" s="40" t="n">
        <x:v>28034.79</x:v>
      </x:c>
      <x:c r="G78" s="23" t="n">
        <x:f>IFERROR(VLOOKUP(B78,Configuracion!$A$9:$C$19,2,FALSE),Configuracion!$B$5)</x:f>
        <x:v>0.22</x:v>
      </x:c>
      <x:c r="H78" s="22" t="n">
        <x:f>ROUNDUP(F78*(1+G78)/Configuracion!$B$3,0)*Configuracion!$B$3</x:f>
        <x:v>34300</x:v>
      </x:c>
      <x:c r="I78" s="23" t="n">
        <x:f>IFERROR(VLOOKUP(B78,Configuracion!$A$9:$C$19,3,FALSE),Configuracion!$C$5)</x:f>
        <x:v>0.4</x:v>
      </x:c>
      <x:c r="J78" s="22" t="n">
        <x:f>ROUNDUP(F78*(1+I78)/Configuracion!$B$3,0)*Configuracion!$B$3</x:f>
        <x:v>39300</x:v>
      </x:c>
      <x:c r="K78" s="22" t="n">
        <x:f>ROUNDUP(J78*(1-Configuracion!$B$4)/Configuracion!$B$3,0)*Configuracion!$B$3</x:f>
        <x:v>37400</x:v>
      </x:c>
      <x:c r="L78" s="21" t="str"/>
      <x:c r="M78" s="21" t="str">
        <x:v>Unidad</x:v>
      </x:c>
      <x:c r="N78" s="21" t="str">
        <x:v>OK</x:v>
      </x:c>
      <x:c r="O78" s="21" t="n">
        <x:v>32</x:v>
      </x:c>
      <x:c r="P78" s="21" t="str">
        <x:v>Extraído del PDF.</x:v>
      </x:c>
      <x:c r="Q78" s="21" t="str">
        <x:v>ST-1N MÁSCARA FOTOSENSIBLE</x:v>
      </x:c>
    </x:row>
    <x:row r="79">
      <x:c r="A79" s="21" t="n">
        <x:v>78</x:v>
      </x:c>
      <x:c r="B79" s="21" t="str">
        <x:v>Soldadoras / Accesorios</x:v>
      </x:c>
      <x:c r="C79" s="21" t="str">
        <x:v>MEGAIRONI40</x:v>
      </x:c>
      <x:c r="D79" s="21" t="str">
        <x:v>KIT SOLDADOR IRON-140 + MASC ST-1X +2 ESCUADRAS</x:v>
      </x:c>
      <x:c r="E79" s="21" t="str">
        <x:v>Solución para trabajos de soldadura y reparación. Apto para taller, herrería y uso profesional según aplicación.</x:v>
      </x:c>
      <x:c r="F79" s="40" t="n">
        <x:v>172363</x:v>
      </x:c>
      <x:c r="G79" s="23" t="n">
        <x:f>IFERROR(VLOOKUP(B79,Configuracion!$A$9:$C$19,2,FALSE),Configuracion!$B$5)</x:f>
        <x:v>0.22</x:v>
      </x:c>
      <x:c r="H79" s="22" t="n">
        <x:f>ROUNDUP(F79*(1+G79)/Configuracion!$B$3,0)*Configuracion!$B$3</x:f>
        <x:v>210300</x:v>
      </x:c>
      <x:c r="I79" s="23" t="n">
        <x:f>IFERROR(VLOOKUP(B79,Configuracion!$A$9:$C$19,3,FALSE),Configuracion!$C$5)</x:f>
        <x:v>0.4</x:v>
      </x:c>
      <x:c r="J79" s="22" t="n">
        <x:f>ROUNDUP(F79*(1+I79)/Configuracion!$B$3,0)*Configuracion!$B$3</x:f>
        <x:v>241400</x:v>
      </x:c>
      <x:c r="K79" s="22" t="n">
        <x:f>ROUNDUP(J79*(1-Configuracion!$B$4)/Configuracion!$B$3,0)*Configuracion!$B$3</x:f>
        <x:v>229400</x:v>
      </x:c>
      <x:c r="L79" s="21" t="str"/>
      <x:c r="M79" s="21" t="str">
        <x:v>Unidad</x:v>
      </x:c>
      <x:c r="N79" s="21" t="str">
        <x:v>OK</x:v>
      </x:c>
      <x:c r="O79" s="21" t="n">
        <x:v>33</x:v>
      </x:c>
      <x:c r="P79" s="21" t="str">
        <x:v>Extraído del PDF.</x:v>
      </x:c>
      <x:c r="Q79" s="21" t="str">
        <x:v>MEGAIRONI40 - KIT SOLDADOR IRON-140 + MASC ST-1X +2 ESCUADRAS</x:v>
      </x:c>
    </x:row>
    <x:row r="80">
      <x:c r="A80" s="21" t="n">
        <x:v>79</x:v>
      </x:c>
      <x:c r="B80" s="21" t="str">
        <x:v>Soldadoras / Accesorios</x:v>
      </x:c>
      <x:c r="C80" s="21" t="str">
        <x:v>SML120-8DK</x:v>
      </x:c>
      <x:c r="D80" s="21" t="str">
        <x:v>SOLDADORA INVERTER DUAL</x:v>
      </x:c>
      <x:c r="E80" s="21" t="str">
        <x:v>Solución para trabajos de soldadura y reparación. Apto para taller, herrería y uso profesional según aplicación.</x:v>
      </x:c>
      <x:c r="F80" s="40" t="n">
        <x:v>300163</x:v>
      </x:c>
      <x:c r="G80" s="23" t="n">
        <x:f>IFERROR(VLOOKUP(B80,Configuracion!$A$9:$C$19,2,FALSE),Configuracion!$B$5)</x:f>
        <x:v>0.22</x:v>
      </x:c>
      <x:c r="H80" s="22" t="n">
        <x:f>ROUNDUP(F80*(1+G80)/Configuracion!$B$3,0)*Configuracion!$B$3</x:f>
        <x:v>366200</x:v>
      </x:c>
      <x:c r="I80" s="23" t="n">
        <x:f>IFERROR(VLOOKUP(B80,Configuracion!$A$9:$C$19,3,FALSE),Configuracion!$C$5)</x:f>
        <x:v>0.4</x:v>
      </x:c>
      <x:c r="J80" s="22" t="n">
        <x:f>ROUNDUP(F80*(1+I80)/Configuracion!$B$3,0)*Configuracion!$B$3</x:f>
        <x:v>420300</x:v>
      </x:c>
      <x:c r="K80" s="22" t="n">
        <x:f>ROUNDUP(J80*(1-Configuracion!$B$4)/Configuracion!$B$3,0)*Configuracion!$B$3</x:f>
        <x:v>399300</x:v>
      </x:c>
      <x:c r="L80" s="21" t="str"/>
      <x:c r="M80" s="21" t="str">
        <x:v>Unidad</x:v>
      </x:c>
      <x:c r="N80" s="21" t="str">
        <x:v>OK</x:v>
      </x:c>
      <x:c r="O80" s="21" t="n">
        <x:v>33</x:v>
      </x:c>
      <x:c r="P80" s="21" t="str">
        <x:v>Extraído del PDF.</x:v>
      </x:c>
      <x:c r="Q80" s="21" t="str">
        <x:v>SML120-8DK // SOLDADORA INVERTER DUAL</x:v>
      </x:c>
    </x:row>
    <x:row r="81">
      <x:c r="A81" s="21" t="n">
        <x:v>80</x:v>
      </x:c>
      <x:c r="B81" s="21" t="str">
        <x:v>Soldadoras / Accesorios</x:v>
      </x:c>
      <x:c r="C81" s="21" t="str">
        <x:v>INCUT-40</x:v>
      </x:c>
      <x:c r="D81" s="21" t="str">
        <x:v>CORTADORA DE PLASMA PROFESIONAL</x:v>
      </x:c>
      <x:c r="E81" s="21" t="str">
        <x:v>Producto orientado a corte, desbaste y terminación. Recomendado para metal, obra y mantenimiento general.</x:v>
      </x:c>
      <x:c r="F81" s="40" t="n">
        <x:v>105258.81</x:v>
      </x:c>
      <x:c r="G81" s="23" t="n">
        <x:f>IFERROR(VLOOKUP(B81,Configuracion!$A$9:$C$19,2,FALSE),Configuracion!$B$5)</x:f>
        <x:v>0.22</x:v>
      </x:c>
      <x:c r="H81" s="22" t="n">
        <x:f>ROUNDUP(F81*(1+G81)/Configuracion!$B$3,0)*Configuracion!$B$3</x:f>
        <x:v>128500</x:v>
      </x:c>
      <x:c r="I81" s="23" t="n">
        <x:f>IFERROR(VLOOKUP(B81,Configuracion!$A$9:$C$19,3,FALSE),Configuracion!$C$5)</x:f>
        <x:v>0.4</x:v>
      </x:c>
      <x:c r="J81" s="22" t="n">
        <x:f>ROUNDUP(F81*(1+I81)/Configuracion!$B$3,0)*Configuracion!$B$3</x:f>
        <x:v>147400</x:v>
      </x:c>
      <x:c r="K81" s="22" t="n">
        <x:f>ROUNDUP(J81*(1-Configuracion!$B$4)/Configuracion!$B$3,0)*Configuracion!$B$3</x:f>
        <x:v>140100</x:v>
      </x:c>
      <x:c r="L81" s="21" t="str"/>
      <x:c r="M81" s="21" t="str">
        <x:v>Unidad</x:v>
      </x:c>
      <x:c r="N81" s="21" t="str">
        <x:v>Revisar OCR</x:v>
      </x:c>
      <x:c r="O81" s="21" t="n">
        <x:v>34</x:v>
      </x:c>
      <x:c r="P81" s="21" t="str">
        <x:v>Extraído por OCR del PDF; revisar imagen si el código o texto aparece con dudas.</x:v>
      </x:c>
      <x:c r="Q81" s="21" t="str">
        <x:v>INCUT-40 CORTADORA DE PLASMA PROFESIONAL</x:v>
      </x:c>
    </x:row>
    <x:row r="82">
      <x:c r="A82" s="21" t="n">
        <x:v>81</x:v>
      </x:c>
      <x:c r="B82" s="21" t="str">
        <x:v>Soldadoras / Accesorios</x:v>
      </x:c>
      <x:c r="C82" s="21" t="str">
        <x:v>IRON-140</x:v>
      </x:c>
      <x:c r="D82" s="21" t="str">
        <x:v>SOLDADORA INVERTER 120a</x:v>
      </x:c>
      <x:c r="E82" s="21" t="str">
        <x:v>Solución para trabajos de soldadura y reparación. Apto para taller, herrería y uso profesional según aplicación.</x:v>
      </x:c>
      <x:c r="F82" s="40" t="n">
        <x:v>157453.07</x:v>
      </x:c>
      <x:c r="G82" s="23" t="n">
        <x:f>IFERROR(VLOOKUP(B82,Configuracion!$A$9:$C$19,2,FALSE),Configuracion!$B$5)</x:f>
        <x:v>0.22</x:v>
      </x:c>
      <x:c r="H82" s="22" t="n">
        <x:f>ROUNDUP(F82*(1+G82)/Configuracion!$B$3,0)*Configuracion!$B$3</x:f>
        <x:v>192100</x:v>
      </x:c>
      <x:c r="I82" s="23" t="n">
        <x:f>IFERROR(VLOOKUP(B82,Configuracion!$A$9:$C$19,3,FALSE),Configuracion!$C$5)</x:f>
        <x:v>0.4</x:v>
      </x:c>
      <x:c r="J82" s="22" t="n">
        <x:f>ROUNDUP(F82*(1+I82)/Configuracion!$B$3,0)*Configuracion!$B$3</x:f>
        <x:v>220500</x:v>
      </x:c>
      <x:c r="K82" s="22" t="n">
        <x:f>ROUNDUP(J82*(1-Configuracion!$B$4)/Configuracion!$B$3,0)*Configuracion!$B$3</x:f>
        <x:v>209500</x:v>
      </x:c>
      <x:c r="L82" s="21" t="str"/>
      <x:c r="M82" s="21" t="str">
        <x:v>Unidad</x:v>
      </x:c>
      <x:c r="N82" s="21" t="str">
        <x:v>OK</x:v>
      </x:c>
      <x:c r="O82" s="21" t="n">
        <x:v>34</x:v>
      </x:c>
      <x:c r="P82" s="21" t="str">
        <x:v>Extraído del PDF.</x:v>
      </x:c>
      <x:c r="Q82" s="21" t="str">
        <x:v>IRON-140 SOLDADORA INVERTER 120a</x:v>
      </x:c>
    </x:row>
    <x:row r="83">
      <x:c r="A83" s="21" t="n">
        <x:v>82</x:v>
      </x:c>
      <x:c r="B83" s="21" t="str">
        <x:v>Compresores y Neumática</x:v>
      </x:c>
      <x:c r="C83" s="21" t="str">
        <x:v>LC2025-8K</x:v>
      </x:c>
      <x:c r="D83" s="21" t="str">
        <x:v>COMPRESOR 25 LITROS EN KIT</x:v>
      </x:c>
      <x:c r="E83" s="21" t="str">
        <x:v>Equipo y accesorios para aire comprimido. Ideal para inflado, pintura, limpieza, herramientas neumáticas y uso de taller.</x:v>
      </x:c>
      <x:c r="F83" s="40" t="n">
        <x:v>186577</x:v>
      </x:c>
      <x:c r="G83" s="23" t="n">
        <x:f>IFERROR(VLOOKUP(B83,Configuracion!$A$9:$C$19,2,FALSE),Configuracion!$B$5)</x:f>
        <x:v>0.22</x:v>
      </x:c>
      <x:c r="H83" s="22" t="n">
        <x:f>ROUNDUP(F83*(1+G83)/Configuracion!$B$3,0)*Configuracion!$B$3</x:f>
        <x:v>227700</x:v>
      </x:c>
      <x:c r="I83" s="23" t="n">
        <x:f>IFERROR(VLOOKUP(B83,Configuracion!$A$9:$C$19,3,FALSE),Configuracion!$C$5)</x:f>
        <x:v>0.42</x:v>
      </x:c>
      <x:c r="J83" s="22" t="n">
        <x:f>ROUNDUP(F83*(1+I83)/Configuracion!$B$3,0)*Configuracion!$B$3</x:f>
        <x:v>265000</x:v>
      </x:c>
      <x:c r="K83" s="22" t="n">
        <x:f>ROUNDUP(J83*(1-Configuracion!$B$4)/Configuracion!$B$3,0)*Configuracion!$B$3</x:f>
        <x:v>251800</x:v>
      </x:c>
      <x:c r="L83" s="21" t="str"/>
      <x:c r="M83" s="21" t="str">
        <x:v>Unidad</x:v>
      </x:c>
      <x:c r="N83" s="21" t="str">
        <x:v>OK</x:v>
      </x:c>
      <x:c r="O83" s="21" t="n">
        <x:v>35</x:v>
      </x:c>
      <x:c r="P83" s="21" t="str">
        <x:v>Extraído del PDF.</x:v>
      </x:c>
      <x:c r="Q83" s="21" t="str">
        <x:v>LC2025-8K // COMPRESOR 25 LITROS EN KIT</x:v>
      </x:c>
    </x:row>
    <x:row r="84">
      <x:c r="A84" s="21" t="n">
        <x:v>83</x:v>
      </x:c>
      <x:c r="B84" s="21" t="str">
        <x:v>Compresores y Neumática</x:v>
      </x:c>
      <x:c r="C84" s="21" t="str">
        <x:v>GC9040-50</x:v>
      </x:c>
      <x:c r="D84" s="21" t="str">
        <x:v>CLAVADORA ENGRAMPADORA 2 EN 1</x:v>
      </x:c>
      <x:c r="E84" s="21" t="str">
        <x:v>Producto Lusqtoff para uso profesional, taller, hogar o mantenimiento. Consultar disponibilidad y garantía oficial.</x:v>
      </x:c>
      <x:c r="F84" s="40" t="n">
        <x:v>42185</x:v>
      </x:c>
      <x:c r="G84" s="23" t="n">
        <x:f>IFERROR(VLOOKUP(B84,Configuracion!$A$9:$C$19,2,FALSE),Configuracion!$B$5)</x:f>
        <x:v>0.22</x:v>
      </x:c>
      <x:c r="H84" s="22" t="n">
        <x:f>ROUNDUP(F84*(1+G84)/Configuracion!$B$3,0)*Configuracion!$B$3</x:f>
        <x:v>51500</x:v>
      </x:c>
      <x:c r="I84" s="23" t="n">
        <x:f>IFERROR(VLOOKUP(B84,Configuracion!$A$9:$C$19,3,FALSE),Configuracion!$C$5)</x:f>
        <x:v>0.42</x:v>
      </x:c>
      <x:c r="J84" s="22" t="n">
        <x:f>ROUNDUP(F84*(1+I84)/Configuracion!$B$3,0)*Configuracion!$B$3</x:f>
        <x:v>60000</x:v>
      </x:c>
      <x:c r="K84" s="22" t="n">
        <x:f>ROUNDUP(J84*(1-Configuracion!$B$4)/Configuracion!$B$3,0)*Configuracion!$B$3</x:f>
        <x:v>57000</x:v>
      </x:c>
      <x:c r="L84" s="21" t="str"/>
      <x:c r="M84" s="21" t="str">
        <x:v>Unidad</x:v>
      </x:c>
      <x:c r="N84" s="21" t="str">
        <x:v>OK</x:v>
      </x:c>
      <x:c r="O84" s="21" t="n">
        <x:v>36</x:v>
      </x:c>
      <x:c r="P84" s="21" t="str">
        <x:v>Extraído del PDF.</x:v>
      </x:c>
      <x:c r="Q84" s="21" t="str">
        <x:v>GC9040-50 // CLAVADORA ENGRAMPADORA 2 EN 1</x:v>
      </x:c>
    </x:row>
    <x:row r="85">
      <x:c r="A85" s="21" t="n">
        <x:v>84</x:v>
      </x:c>
      <x:c r="B85" s="21" t="str">
        <x:v>Compresores y Neumática</x:v>
      </x:c>
      <x:c r="C85" s="21" t="str">
        <x:v>GP-2550B</x:v>
      </x:c>
      <x:c r="D85" s="21" t="str">
        <x:v>Compresor 50LTS Garden Plus</x:v>
      </x:c>
      <x:c r="E85" s="21" t="str">
        <x:v>Equipo y accesorios para aire comprimido. Ideal para inflado, pintura, limpieza, herramientas neumáticas y uso de taller.</x:v>
      </x:c>
      <x:c r="F85" s="40" t="n">
        <x:v>170000</x:v>
      </x:c>
      <x:c r="G85" s="23" t="n">
        <x:f>IFERROR(VLOOKUP(B85,Configuracion!$A$9:$C$19,2,FALSE),Configuracion!$B$5)</x:f>
        <x:v>0.22</x:v>
      </x:c>
      <x:c r="H85" s="22" t="n">
        <x:f>ROUNDUP(F85*(1+G85)/Configuracion!$B$3,0)*Configuracion!$B$3</x:f>
        <x:v>207400</x:v>
      </x:c>
      <x:c r="I85" s="23" t="n">
        <x:f>IFERROR(VLOOKUP(B85,Configuracion!$A$9:$C$19,3,FALSE),Configuracion!$C$5)</x:f>
        <x:v>0.42</x:v>
      </x:c>
      <x:c r="J85" s="22" t="n">
        <x:f>ROUNDUP(F85*(1+I85)/Configuracion!$B$3,0)*Configuracion!$B$3</x:f>
        <x:v>241400</x:v>
      </x:c>
      <x:c r="K85" s="22" t="n">
        <x:f>ROUNDUP(J85*(1-Configuracion!$B$4)/Configuracion!$B$3,0)*Configuracion!$B$3</x:f>
        <x:v>229400</x:v>
      </x:c>
      <x:c r="L85" s="21" t="str"/>
      <x:c r="M85" s="21" t="str">
        <x:v>Unidad</x:v>
      </x:c>
      <x:c r="N85" s="21" t="str">
        <x:v>OK</x:v>
      </x:c>
      <x:c r="O85" s="21" t="n">
        <x:v>36</x:v>
      </x:c>
      <x:c r="P85" s="21" t="str">
        <x:v>Extraído del PDF.</x:v>
      </x:c>
      <x:c r="Q85" s="21" t="str">
        <x:v>GP-2550B Compresor 50LTS Garden Plus</x:v>
      </x:c>
    </x:row>
    <x:row r="86">
      <x:c r="A86" s="21" t="n">
        <x:v>85</x:v>
      </x:c>
      <x:c r="B86" s="21" t="str">
        <x:v>Compresores y Neumática</x:v>
      </x:c>
      <x:c r="C86" s="21" t="str"/>
      <x:c r="D86" s="21" t="str">
        <x:v>Compresor de aire 100 litros eléctrico Lusqtoff LC-40100 mo nofásico naranja 220V SOHz</x:v>
      </x:c>
      <x:c r="E86" s="21" t="str">
        <x:v>Equipo y accesorios para aire comprimido. Ideal para inflado, pintura, limpieza, herramientas neumáticas y uso de taller.</x:v>
      </x:c>
      <x:c r="F86" s="40" t="n">
        <x:v>486755.78</x:v>
      </x:c>
      <x:c r="G86" s="23" t="n">
        <x:f>IFERROR(VLOOKUP(B86,Configuracion!$A$9:$C$19,2,FALSE),Configuracion!$B$5)</x:f>
        <x:v>0.22</x:v>
      </x:c>
      <x:c r="H86" s="22" t="n">
        <x:f>ROUNDUP(F86*(1+G86)/Configuracion!$B$3,0)*Configuracion!$B$3</x:f>
        <x:v>593900</x:v>
      </x:c>
      <x:c r="I86" s="23" t="n">
        <x:f>IFERROR(VLOOKUP(B86,Configuracion!$A$9:$C$19,3,FALSE),Configuracion!$C$5)</x:f>
        <x:v>0.42</x:v>
      </x:c>
      <x:c r="J86" s="22" t="n">
        <x:f>ROUNDUP(F86*(1+I86)/Configuracion!$B$3,0)*Configuracion!$B$3</x:f>
        <x:v>691200</x:v>
      </x:c>
      <x:c r="K86" s="22" t="n">
        <x:f>ROUNDUP(J86*(1-Configuracion!$B$4)/Configuracion!$B$3,0)*Configuracion!$B$3</x:f>
        <x:v>656700</x:v>
      </x:c>
      <x:c r="L86" s="21" t="str"/>
      <x:c r="M86" s="21" t="str">
        <x:v>Unidad</x:v>
      </x:c>
      <x:c r="N86" s="21" t="str">
        <x:v>Revisar OCR</x:v>
      </x:c>
      <x:c r="O86" s="21" t="n">
        <x:v>36</x:v>
      </x:c>
      <x:c r="P86" s="21" t="str">
        <x:v>Extraído por OCR del PDF; revisar imagen si el código o texto aparece con dudas.</x:v>
      </x:c>
      <x:c r="Q86" s="21" t="str">
        <x:v>Compresor de aire 100 litros eléctrico Lusqtoff LC-40100 mo nofásico naranja 220V SOHz</x:v>
      </x:c>
    </x:row>
    <x:row r="87">
      <x:c r="A87" s="21" t="n">
        <x:v>86</x:v>
      </x:c>
      <x:c r="B87" s="21" t="str">
        <x:v>Compresores y Neumática</x:v>
      </x:c>
      <x:c r="C87" s="21" t="str">
        <x:v>ANLI20-8A</x:v>
      </x:c>
      <x:c r="D87" s="21" t="str">
        <x:v>ARENADORA NEUMATICA 120PSI</x:v>
      </x:c>
      <x:c r="E87" s="21" t="str">
        <x:v>Equipo y accesorios para aire comprimido. Ideal para inflado, pintura, limpieza, herramientas neumáticas y uso de taller.</x:v>
      </x:c>
      <x:c r="F87" s="40" t="n">
        <x:v>22743.76</x:v>
      </x:c>
      <x:c r="G87" s="23" t="n">
        <x:f>IFERROR(VLOOKUP(B87,Configuracion!$A$9:$C$19,2,FALSE),Configuracion!$B$5)</x:f>
        <x:v>0.22</x:v>
      </x:c>
      <x:c r="H87" s="22" t="n">
        <x:f>ROUNDUP(F87*(1+G87)/Configuracion!$B$3,0)*Configuracion!$B$3</x:f>
        <x:v>27800</x:v>
      </x:c>
      <x:c r="I87" s="23" t="n">
        <x:f>IFERROR(VLOOKUP(B87,Configuracion!$A$9:$C$19,3,FALSE),Configuracion!$C$5)</x:f>
        <x:v>0.42</x:v>
      </x:c>
      <x:c r="J87" s="22" t="n">
        <x:f>ROUNDUP(F87*(1+I87)/Configuracion!$B$3,0)*Configuracion!$B$3</x:f>
        <x:v>32300</x:v>
      </x:c>
      <x:c r="K87" s="22" t="n">
        <x:f>ROUNDUP(J87*(1-Configuracion!$B$4)/Configuracion!$B$3,0)*Configuracion!$B$3</x:f>
        <x:v>30700</x:v>
      </x:c>
      <x:c r="L87" s="21" t="str"/>
      <x:c r="M87" s="21" t="str">
        <x:v>Unidad</x:v>
      </x:c>
      <x:c r="N87" s="21" t="str">
        <x:v>Revisar OCR</x:v>
      </x:c>
      <x:c r="O87" s="21" t="n">
        <x:v>37</x:v>
      </x:c>
      <x:c r="P87" s="21" t="str">
        <x:v>Extraído por OCR del PDF; revisar imagen si el código o texto aparece con dudas.</x:v>
      </x:c>
      <x:c r="Q87" s="21" t="str">
        <x:v>ANLI20-8A // ARENADORA NEUMATICA 120PSI</x:v>
      </x:c>
    </x:row>
    <x:row r="88">
      <x:c r="A88" s="21" t="n">
        <x:v>87</x:v>
      </x:c>
      <x:c r="B88" s="21" t="str">
        <x:v>Compresores y Neumática</x:v>
      </x:c>
      <x:c r="C88" s="21" t="str">
        <x:v>AA-5000K</x:v>
      </x:c>
      <x:c r="D88" s="21" t="str">
        <x:v>Kit Compresor Sopletear Inflar Lavar Pintar 5 Pzas</x:v>
      </x:c>
      <x:c r="E88" s="21" t="str">
        <x:v>Equipo y accesorios para aire comprimido. Ideal para inflado, pintura, limpieza, herramientas neumáticas y uso de taller.</x:v>
      </x:c>
      <x:c r="F88" s="40" t="n">
        <x:v>34504.35</x:v>
      </x:c>
      <x:c r="G88" s="23" t="n">
        <x:f>IFERROR(VLOOKUP(B88,Configuracion!$A$9:$C$19,2,FALSE),Configuracion!$B$5)</x:f>
        <x:v>0.22</x:v>
      </x:c>
      <x:c r="H88" s="22" t="n">
        <x:f>ROUNDUP(F88*(1+G88)/Configuracion!$B$3,0)*Configuracion!$B$3</x:f>
        <x:v>42100</x:v>
      </x:c>
      <x:c r="I88" s="23" t="n">
        <x:f>IFERROR(VLOOKUP(B88,Configuracion!$A$9:$C$19,3,FALSE),Configuracion!$C$5)</x:f>
        <x:v>0.42</x:v>
      </x:c>
      <x:c r="J88" s="22" t="n">
        <x:f>ROUNDUP(F88*(1+I88)/Configuracion!$B$3,0)*Configuracion!$B$3</x:f>
        <x:v>49000</x:v>
      </x:c>
      <x:c r="K88" s="22" t="n">
        <x:f>ROUNDUP(J88*(1-Configuracion!$B$4)/Configuracion!$B$3,0)*Configuracion!$B$3</x:f>
        <x:v>46600</x:v>
      </x:c>
      <x:c r="L88" s="21" t="str"/>
      <x:c r="M88" s="21" t="str">
        <x:v>Unidad</x:v>
      </x:c>
      <x:c r="N88" s="21" t="str">
        <x:v>OK</x:v>
      </x:c>
      <x:c r="O88" s="21" t="n">
        <x:v>37</x:v>
      </x:c>
      <x:c r="P88" s="21" t="str">
        <x:v>Extraído del PDF.</x:v>
      </x:c>
      <x:c r="Q88" s="21" t="str">
        <x:v>AA-5000k Kit Compresor Sopletear Inflar Lavar Pintar 5 Pzas</x:v>
      </x:c>
    </x:row>
    <x:row r="89">
      <x:c r="A89" s="21" t="n">
        <x:v>88</x:v>
      </x:c>
      <x:c r="B89" s="21" t="str">
        <x:v>Compresores y Neumática</x:v>
      </x:c>
      <x:c r="C89" s="21" t="str">
        <x:v>AS-1050</x:v>
      </x:c>
      <x:c r="D89" s="21" t="str">
        <x:v>Pistola de pintar alta presion</x:v>
      </x:c>
      <x:c r="E89" s="21" t="str">
        <x:v>Equipo y accesorios para aire comprimido. Ideal para inflado, pintura, limpieza, herramientas neumáticas y uso de taller.</x:v>
      </x:c>
      <x:c r="F89" s="40" t="n">
        <x:v>26942.51</x:v>
      </x:c>
      <x:c r="G89" s="23" t="n">
        <x:f>IFERROR(VLOOKUP(B89,Configuracion!$A$9:$C$19,2,FALSE),Configuracion!$B$5)</x:f>
        <x:v>0.22</x:v>
      </x:c>
      <x:c r="H89" s="22" t="n">
        <x:f>ROUNDUP(F89*(1+G89)/Configuracion!$B$3,0)*Configuracion!$B$3</x:f>
        <x:v>32900</x:v>
      </x:c>
      <x:c r="I89" s="23" t="n">
        <x:f>IFERROR(VLOOKUP(B89,Configuracion!$A$9:$C$19,3,FALSE),Configuracion!$C$5)</x:f>
        <x:v>0.42</x:v>
      </x:c>
      <x:c r="J89" s="22" t="n">
        <x:f>ROUNDUP(F89*(1+I89)/Configuracion!$B$3,0)*Configuracion!$B$3</x:f>
        <x:v>38300</x:v>
      </x:c>
      <x:c r="K89" s="22" t="n">
        <x:f>ROUNDUP(J89*(1-Configuracion!$B$4)/Configuracion!$B$3,0)*Configuracion!$B$3</x:f>
        <x:v>36400</x:v>
      </x:c>
      <x:c r="L89" s="21" t="str"/>
      <x:c r="M89" s="21" t="str">
        <x:v>Unidad</x:v>
      </x:c>
      <x:c r="N89" s="21" t="str">
        <x:v>Revisar OCR</x:v>
      </x:c>
      <x:c r="O89" s="21" t="n">
        <x:v>37</x:v>
      </x:c>
      <x:c r="P89" s="21" t="str">
        <x:v>Extraído por OCR del PDF; revisar imagen si el código o texto aparece con dudas.</x:v>
      </x:c>
      <x:c r="Q89" s="21" t="str">
        <x:v>As-1050 Pistola de pintar alta presion</x:v>
      </x:c>
    </x:row>
    <x:row r="90">
      <x:c r="A90" s="21" t="n">
        <x:v>89</x:v>
      </x:c>
      <x:c r="B90" s="21" t="str">
        <x:v>Compresores y Neumática</x:v>
      </x:c>
      <x:c r="C90" s="21" t="str">
        <x:v>KACL20-9</x:v>
      </x:c>
      <x:c r="D90" s="21" t="str">
        <x:v>KIT ACCESORIO PARA COMPRESOR</x:v>
      </x:c>
      <x:c r="E90" s="21" t="str">
        <x:v>Equipo y accesorios para aire comprimido. Ideal para inflado, pintura, limpieza, herramientas neumáticas y uso de taller.</x:v>
      </x:c>
      <x:c r="F90" s="40" t="n">
        <x:v>28250</x:v>
      </x:c>
      <x:c r="G90" s="23" t="n">
        <x:f>IFERROR(VLOOKUP(B90,Configuracion!$A$9:$C$19,2,FALSE),Configuracion!$B$5)</x:f>
        <x:v>0.22</x:v>
      </x:c>
      <x:c r="H90" s="22" t="n">
        <x:f>ROUNDUP(F90*(1+G90)/Configuracion!$B$3,0)*Configuracion!$B$3</x:f>
        <x:v>34500</x:v>
      </x:c>
      <x:c r="I90" s="23" t="n">
        <x:f>IFERROR(VLOOKUP(B90,Configuracion!$A$9:$C$19,3,FALSE),Configuracion!$C$5)</x:f>
        <x:v>0.42</x:v>
      </x:c>
      <x:c r="J90" s="22" t="n">
        <x:f>ROUNDUP(F90*(1+I90)/Configuracion!$B$3,0)*Configuracion!$B$3</x:f>
        <x:v>40200</x:v>
      </x:c>
      <x:c r="K90" s="22" t="n">
        <x:f>ROUNDUP(J90*(1-Configuracion!$B$4)/Configuracion!$B$3,0)*Configuracion!$B$3</x:f>
        <x:v>38200</x:v>
      </x:c>
      <x:c r="L90" s="21" t="str"/>
      <x:c r="M90" s="21" t="str">
        <x:v>Unidad</x:v>
      </x:c>
      <x:c r="N90" s="21" t="str">
        <x:v>OK</x:v>
      </x:c>
      <x:c r="O90" s="21" t="n">
        <x:v>38</x:v>
      </x:c>
      <x:c r="P90" s="21" t="str">
        <x:v>Extraído del PDF.</x:v>
      </x:c>
      <x:c r="Q90" s="21" t="str">
        <x:v>KACL20-9 - KIT ACCESORIO PARA COMPRESOR</x:v>
      </x:c>
    </x:row>
    <x:row r="91">
      <x:c r="A91" s="21" t="n">
        <x:v>90</x:v>
      </x:c>
      <x:c r="B91" s="21" t="str">
        <x:v>Carpintería y Madera</x:v>
      </x:c>
      <x:c r="C91" s="21" t="str">
        <x:v>CSL1500-8</x:v>
      </x:c>
      <x:c r="D91" s="21" t="str">
        <x:v>SIERRA CIRCULAR 1500W</x:v>
      </x:c>
      <x:c r="E91" s="21" t="str">
        <x:v>Herramienta para carpintería, corte, lijado y terminación en madera. Recomendada para trabajos precisos y terminación prolija.</x:v>
      </x:c>
      <x:c r="F91" s="40" t="n">
        <x:v>105463</x:v>
      </x:c>
      <x:c r="G91" s="23" t="n">
        <x:f>IFERROR(VLOOKUP(B91,Configuracion!$A$9:$C$19,2,FALSE),Configuracion!$B$5)</x:f>
        <x:v>0.25</x:v>
      </x:c>
      <x:c r="H91" s="22" t="n">
        <x:f>ROUNDUP(F91*(1+G91)/Configuracion!$B$3,0)*Configuracion!$B$3</x:f>
        <x:v>131900</x:v>
      </x:c>
      <x:c r="I91" s="23" t="n">
        <x:f>IFERROR(VLOOKUP(B91,Configuracion!$A$9:$C$19,3,FALSE),Configuracion!$C$5)</x:f>
        <x:v>0.45</x:v>
      </x:c>
      <x:c r="J91" s="22" t="n">
        <x:f>ROUNDUP(F91*(1+I91)/Configuracion!$B$3,0)*Configuracion!$B$3</x:f>
        <x:v>153000</x:v>
      </x:c>
      <x:c r="K91" s="22" t="n">
        <x:f>ROUNDUP(J91*(1-Configuracion!$B$4)/Configuracion!$B$3,0)*Configuracion!$B$3</x:f>
        <x:v>145400</x:v>
      </x:c>
      <x:c r="L91" s="21" t="str"/>
      <x:c r="M91" s="21" t="str">
        <x:v>Unidad</x:v>
      </x:c>
      <x:c r="N91" s="21" t="str">
        <x:v>OK</x:v>
      </x:c>
      <x:c r="O91" s="21" t="n">
        <x:v>39</x:v>
      </x:c>
      <x:c r="P91" s="21" t="str">
        <x:v>Extraído del PDF.</x:v>
      </x:c>
      <x:c r="Q91" s="21" t="str">
        <x:v>CSL1500-8 // SIERRA CIRCULAR 1500W</x:v>
      </x:c>
    </x:row>
    <x:row r="92">
      <x:c r="A92" s="21" t="n">
        <x:v>91</x:v>
      </x:c>
      <x:c r="B92" s="21" t="str">
        <x:v>Carpintería y Madera</x:v>
      </x:c>
      <x:c r="C92" s="21" t="str">
        <x:v>FRL1400-9</x:v>
      </x:c>
      <x:c r="D92" s="21" t="str">
        <x:v>FRESADORA 1400W</x:v>
      </x:c>
      <x:c r="E92" s="21" t="str">
        <x:v>Herramienta para carpintería, corte, lijado y terminación en madera. Recomendada para trabajos precisos y terminación prolija.</x:v>
      </x:c>
      <x:c r="F92" s="40" t="n">
        <x:v>154499.4</x:v>
      </x:c>
      <x:c r="G92" s="23" t="n">
        <x:f>IFERROR(VLOOKUP(B92,Configuracion!$A$9:$C$19,2,FALSE),Configuracion!$B$5)</x:f>
        <x:v>0.25</x:v>
      </x:c>
      <x:c r="H92" s="22" t="n">
        <x:f>ROUNDUP(F92*(1+G92)/Configuracion!$B$3,0)*Configuracion!$B$3</x:f>
        <x:v>193200</x:v>
      </x:c>
      <x:c r="I92" s="23" t="n">
        <x:f>IFERROR(VLOOKUP(B92,Configuracion!$A$9:$C$19,3,FALSE),Configuracion!$C$5)</x:f>
        <x:v>0.45</x:v>
      </x:c>
      <x:c r="J92" s="22" t="n">
        <x:f>ROUNDUP(F92*(1+I92)/Configuracion!$B$3,0)*Configuracion!$B$3</x:f>
        <x:v>224100</x:v>
      </x:c>
      <x:c r="K92" s="22" t="n">
        <x:f>ROUNDUP(J92*(1-Configuracion!$B$4)/Configuracion!$B$3,0)*Configuracion!$B$3</x:f>
        <x:v>212900</x:v>
      </x:c>
      <x:c r="L92" s="21" t="str"/>
      <x:c r="M92" s="21" t="str">
        <x:v>Unidad</x:v>
      </x:c>
      <x:c r="N92" s="21" t="str">
        <x:v>OK</x:v>
      </x:c>
      <x:c r="O92" s="21" t="n">
        <x:v>40</x:v>
      </x:c>
      <x:c r="P92" s="21" t="str">
        <x:v>Extraído del PDF.</x:v>
      </x:c>
      <x:c r="Q92" s="21" t="str">
        <x:v>FRL1400-9 FRESADORA 1400W</x:v>
      </x:c>
    </x:row>
    <x:row r="93">
      <x:c r="A93" s="21" t="n">
        <x:v>92</x:v>
      </x:c>
      <x:c r="B93" s="21" t="str">
        <x:v>Carpintería y Madera</x:v>
      </x:c>
      <x:c r="C93" s="21" t="str">
        <x:v>LQI-1650</x:v>
      </x:c>
      <x:c r="D93" s="21" t="str">
        <x:v>INGLETADORA 1650W</x:v>
      </x:c>
      <x:c r="E93" s="21" t="str">
        <x:v>Herramienta para carpintería, corte, lijado y terminación en madera. Recomendada para trabajos precisos y terminación prolija.</x:v>
      </x:c>
      <x:c r="F93" s="40" t="n">
        <x:v>253674.92</x:v>
      </x:c>
      <x:c r="G93" s="23" t="n">
        <x:f>IFERROR(VLOOKUP(B93,Configuracion!$A$9:$C$19,2,FALSE),Configuracion!$B$5)</x:f>
        <x:v>0.25</x:v>
      </x:c>
      <x:c r="H93" s="22" t="n">
        <x:f>ROUNDUP(F93*(1+G93)/Configuracion!$B$3,0)*Configuracion!$B$3</x:f>
        <x:v>317100</x:v>
      </x:c>
      <x:c r="I93" s="23" t="n">
        <x:f>IFERROR(VLOOKUP(B93,Configuracion!$A$9:$C$19,3,FALSE),Configuracion!$C$5)</x:f>
        <x:v>0.45</x:v>
      </x:c>
      <x:c r="J93" s="22" t="n">
        <x:f>ROUNDUP(F93*(1+I93)/Configuracion!$B$3,0)*Configuracion!$B$3</x:f>
        <x:v>367900</x:v>
      </x:c>
      <x:c r="K93" s="22" t="n">
        <x:f>ROUNDUP(J93*(1-Configuracion!$B$4)/Configuracion!$B$3,0)*Configuracion!$B$3</x:f>
        <x:v>349600</x:v>
      </x:c>
      <x:c r="L93" s="21" t="str"/>
      <x:c r="M93" s="21" t="str">
        <x:v>Unidad</x:v>
      </x:c>
      <x:c r="N93" s="21" t="str">
        <x:v>OK</x:v>
      </x:c>
      <x:c r="O93" s="21" t="n">
        <x:v>40</x:v>
      </x:c>
      <x:c r="P93" s="21" t="str">
        <x:v>Extraído del PDF.</x:v>
      </x:c>
      <x:c r="Q93" s="21" t="str">
        <x:v>LQI-1650 // INGLETADORA 1650W</x:v>
      </x:c>
    </x:row>
    <x:row r="94">
      <x:c r="A94" s="21" t="n">
        <x:v>93</x:v>
      </x:c>
      <x:c r="B94" s="21" t="str">
        <x:v>Carpintería y Madera</x:v>
      </x:c>
      <x:c r="C94" s="21" t="str">
        <x:v>LBL810-7</x:v>
      </x:c>
      <x:c r="D94" s="21" t="str">
        <x:v>LIJADORA DE BANDA 810W</x:v>
      </x:c>
      <x:c r="E94" s="21" t="str">
        <x:v>Herramienta para carpintería, corte, lijado y terminación en madera. Recomendada para trabajos precisos y terminación prolija.</x:v>
      </x:c>
      <x:c r="F94" s="40" t="n">
        <x:v>104514.3</x:v>
      </x:c>
      <x:c r="G94" s="23" t="n">
        <x:f>IFERROR(VLOOKUP(B94,Configuracion!$A$9:$C$19,2,FALSE),Configuracion!$B$5)</x:f>
        <x:v>0.25</x:v>
      </x:c>
      <x:c r="H94" s="22" t="n">
        <x:f>ROUNDUP(F94*(1+G94)/Configuracion!$B$3,0)*Configuracion!$B$3</x:f>
        <x:v>130700</x:v>
      </x:c>
      <x:c r="I94" s="23" t="n">
        <x:f>IFERROR(VLOOKUP(B94,Configuracion!$A$9:$C$19,3,FALSE),Configuracion!$C$5)</x:f>
        <x:v>0.45</x:v>
      </x:c>
      <x:c r="J94" s="22" t="n">
        <x:f>ROUNDUP(F94*(1+I94)/Configuracion!$B$3,0)*Configuracion!$B$3</x:f>
        <x:v>151600</x:v>
      </x:c>
      <x:c r="K94" s="22" t="n">
        <x:f>ROUNDUP(J94*(1-Configuracion!$B$4)/Configuracion!$B$3,0)*Configuracion!$B$3</x:f>
        <x:v>144100</x:v>
      </x:c>
      <x:c r="L94" s="21" t="str"/>
      <x:c r="M94" s="21" t="str">
        <x:v>Unidad</x:v>
      </x:c>
      <x:c r="N94" s="21" t="str">
        <x:v>OK</x:v>
      </x:c>
      <x:c r="O94" s="21" t="n">
        <x:v>40</x:v>
      </x:c>
      <x:c r="P94" s="21" t="str">
        <x:v>Extraído del PDF.</x:v>
      </x:c>
      <x:c r="Q94" s="21" t="str">
        <x:v>LBL810-7 LIJADORA DE BANDA 810W</x:v>
      </x:c>
    </x:row>
    <x:row r="95">
      <x:c r="A95" s="21" t="n">
        <x:v>94</x:v>
      </x:c>
      <x:c r="B95" s="21" t="str">
        <x:v>Carpintería y Madera</x:v>
      </x:c>
      <x:c r="C95" s="21" t="str">
        <x:v>LRL300-8</x:v>
      </x:c>
      <x:c r="D95" s="21" t="str">
        <x:v>LIJADORA ROTO ORBITAL</x:v>
      </x:c>
      <x:c r="E95" s="21" t="str">
        <x:v>Herramienta para carpintería, corte, lijado y terminación en madera. Recomendada para trabajos precisos y terminación prolija.</x:v>
      </x:c>
      <x:c r="F95" s="40" t="n">
        <x:v>59482.97</x:v>
      </x:c>
      <x:c r="G95" s="23" t="n">
        <x:f>IFERROR(VLOOKUP(B95,Configuracion!$A$9:$C$19,2,FALSE),Configuracion!$B$5)</x:f>
        <x:v>0.25</x:v>
      </x:c>
      <x:c r="H95" s="22" t="n">
        <x:f>ROUNDUP(F95*(1+G95)/Configuracion!$B$3,0)*Configuracion!$B$3</x:f>
        <x:v>74400</x:v>
      </x:c>
      <x:c r="I95" s="23" t="n">
        <x:f>IFERROR(VLOOKUP(B95,Configuracion!$A$9:$C$19,3,FALSE),Configuracion!$C$5)</x:f>
        <x:v>0.45</x:v>
      </x:c>
      <x:c r="J95" s="22" t="n">
        <x:f>ROUNDUP(F95*(1+I95)/Configuracion!$B$3,0)*Configuracion!$B$3</x:f>
        <x:v>86300</x:v>
      </x:c>
      <x:c r="K95" s="22" t="n">
        <x:f>ROUNDUP(J95*(1-Configuracion!$B$4)/Configuracion!$B$3,0)*Configuracion!$B$3</x:f>
        <x:v>82000</x:v>
      </x:c>
      <x:c r="L95" s="21" t="str"/>
      <x:c r="M95" s="21" t="str">
        <x:v>Unidad</x:v>
      </x:c>
      <x:c r="N95" s="21" t="str">
        <x:v>Revisar OCR</x:v>
      </x:c>
      <x:c r="O95" s="21" t="n">
        <x:v>41</x:v>
      </x:c>
      <x:c r="P95" s="21" t="str">
        <x:v>Extraído por OCR del PDF; revisar imagen si el código o texto aparece con dudas.</x:v>
      </x:c>
      <x:c r="Q95" s="21" t="str">
        <x:v>LRL300-8 LIJADORA ROTO ORBITAL</x:v>
      </x:c>
    </x:row>
    <x:row r="96">
      <x:c r="A96" s="21" t="n">
        <x:v>95</x:v>
      </x:c>
      <x:c r="B96" s="21" t="str">
        <x:v>Carpintería y Madera</x:v>
      </x:c>
      <x:c r="C96" s="21" t="str">
        <x:v>LQLB-250</x:v>
      </x:c>
      <x:c r="D96" s="21" t="str">
        <x:v>Lijadora De Banda Banco Combinada Lusatoff 44 O Watts</x:v>
      </x:c>
      <x:c r="E96" s="21" t="str">
        <x:v>Herramienta para carpintería, corte, lijado y terminación en madera. Recomendada para trabajos precisos y terminación prolija.</x:v>
      </x:c>
      <x:c r="F96" s="40" t="n">
        <x:v>209940.5</x:v>
      </x:c>
      <x:c r="G96" s="23" t="n">
        <x:f>IFERROR(VLOOKUP(B96,Configuracion!$A$9:$C$19,2,FALSE),Configuracion!$B$5)</x:f>
        <x:v>0.25</x:v>
      </x:c>
      <x:c r="H96" s="22" t="n">
        <x:f>ROUNDUP(F96*(1+G96)/Configuracion!$B$3,0)*Configuracion!$B$3</x:f>
        <x:v>262500</x:v>
      </x:c>
      <x:c r="I96" s="23" t="n">
        <x:f>IFERROR(VLOOKUP(B96,Configuracion!$A$9:$C$19,3,FALSE),Configuracion!$C$5)</x:f>
        <x:v>0.45</x:v>
      </x:c>
      <x:c r="J96" s="22" t="n">
        <x:f>ROUNDUP(F96*(1+I96)/Configuracion!$B$3,0)*Configuracion!$B$3</x:f>
        <x:v>304500</x:v>
      </x:c>
      <x:c r="K96" s="22" t="n">
        <x:f>ROUNDUP(J96*(1-Configuracion!$B$4)/Configuracion!$B$3,0)*Configuracion!$B$3</x:f>
        <x:v>289300</x:v>
      </x:c>
      <x:c r="L96" s="21" t="str"/>
      <x:c r="M96" s="21" t="str">
        <x:v>Unidad</x:v>
      </x:c>
      <x:c r="N96" s="21" t="str">
        <x:v>Revisar OCR</x:v>
      </x:c>
      <x:c r="O96" s="21" t="n">
        <x:v>41</x:v>
      </x:c>
      <x:c r="P96" s="21" t="str">
        <x:v>Extraído por OCR del PDF; revisar imagen si el código o texto aparece con dudas.</x:v>
      </x:c>
      <x:c r="Q96" s="21" t="str">
        <x:v>LQLB-250 Lijadora De Banda Banco Combinada Lusatoff 44 O Watts</x:v>
      </x:c>
    </x:row>
    <x:row r="97">
      <x:c r="A97" s="21" t="n">
        <x:v>96</x:v>
      </x:c>
      <x:c r="B97" s="21" t="str">
        <x:v>Carpintería y Madera</x:v>
      </x:c>
      <x:c r="C97" s="21" t="str">
        <x:v>SCL710-8</x:v>
      </x:c>
      <x:c r="D97" s="21" t="str">
        <x:v>SIERRA CALADORA 710W</x:v>
      </x:c>
      <x:c r="E97" s="21" t="str">
        <x:v>Herramienta para carpintería, corte, lijado y terminación en madera. Recomendada para trabajos precisos y terminación prolija.</x:v>
      </x:c>
      <x:c r="F97" s="40" t="n">
        <x:v>90579.06</x:v>
      </x:c>
      <x:c r="G97" s="23" t="n">
        <x:f>IFERROR(VLOOKUP(B97,Configuracion!$A$9:$C$19,2,FALSE),Configuracion!$B$5)</x:f>
        <x:v>0.25</x:v>
      </x:c>
      <x:c r="H97" s="22" t="n">
        <x:f>ROUNDUP(F97*(1+G97)/Configuracion!$B$3,0)*Configuracion!$B$3</x:f>
        <x:v>113300</x:v>
      </x:c>
      <x:c r="I97" s="23" t="n">
        <x:f>IFERROR(VLOOKUP(B97,Configuracion!$A$9:$C$19,3,FALSE),Configuracion!$C$5)</x:f>
        <x:v>0.45</x:v>
      </x:c>
      <x:c r="J97" s="22" t="n">
        <x:f>ROUNDUP(F97*(1+I97)/Configuracion!$B$3,0)*Configuracion!$B$3</x:f>
        <x:v>131400</x:v>
      </x:c>
      <x:c r="K97" s="22" t="n">
        <x:f>ROUNDUP(J97*(1-Configuracion!$B$4)/Configuracion!$B$3,0)*Configuracion!$B$3</x:f>
        <x:v>124900</x:v>
      </x:c>
      <x:c r="L97" s="21" t="str"/>
      <x:c r="M97" s="21" t="str">
        <x:v>Unidad</x:v>
      </x:c>
      <x:c r="N97" s="21" t="str">
        <x:v>OK</x:v>
      </x:c>
      <x:c r="O97" s="21" t="n">
        <x:v>41</x:v>
      </x:c>
      <x:c r="P97" s="21" t="str">
        <x:v>Extraído del PDF.</x:v>
      </x:c>
      <x:c r="Q97" s="21" t="str">
        <x:v>SCL710-8 SIERRA CALADORA 710W</x:v>
      </x:c>
    </x:row>
    <x:row r="98">
      <x:c r="A98" s="21" t="n">
        <x:v>97</x:v>
      </x:c>
      <x:c r="B98" s="21" t="str">
        <x:v>Carpintería y Madera</x:v>
      </x:c>
      <x:c r="C98" s="21" t="str">
        <x:v>LX-4076</x:v>
      </x:c>
      <x:c r="D98" s="21" t="str">
        <x:v>LIJADORA ROTO ORBITAL NEUMATICA</x:v>
      </x:c>
      <x:c r="E98" s="21" t="str">
        <x:v>Equipo y accesorios para aire comprimido. Ideal para inflado, pintura, limpieza, herramientas neumáticas y uso de taller.</x:v>
      </x:c>
      <x:c r="F98" s="40" t="n">
        <x:v>60998.77</x:v>
      </x:c>
      <x:c r="G98" s="23" t="n">
        <x:f>IFERROR(VLOOKUP(B98,Configuracion!$A$9:$C$19,2,FALSE),Configuracion!$B$5)</x:f>
        <x:v>0.25</x:v>
      </x:c>
      <x:c r="H98" s="22" t="n">
        <x:f>ROUNDUP(F98*(1+G98)/Configuracion!$B$3,0)*Configuracion!$B$3</x:f>
        <x:v>76300</x:v>
      </x:c>
      <x:c r="I98" s="23" t="n">
        <x:f>IFERROR(VLOOKUP(B98,Configuracion!$A$9:$C$19,3,FALSE),Configuracion!$C$5)</x:f>
        <x:v>0.45</x:v>
      </x:c>
      <x:c r="J98" s="22" t="n">
        <x:f>ROUNDUP(F98*(1+I98)/Configuracion!$B$3,0)*Configuracion!$B$3</x:f>
        <x:v>88500</x:v>
      </x:c>
      <x:c r="K98" s="22" t="n">
        <x:f>ROUNDUP(J98*(1-Configuracion!$B$4)/Configuracion!$B$3,0)*Configuracion!$B$3</x:f>
        <x:v>84100</x:v>
      </x:c>
      <x:c r="L98" s="21" t="str"/>
      <x:c r="M98" s="21" t="str">
        <x:v>Unidad</x:v>
      </x:c>
      <x:c r="N98" s="21" t="str">
        <x:v>OK</x:v>
      </x:c>
      <x:c r="O98" s="21" t="n">
        <x:v>42</x:v>
      </x:c>
      <x:c r="P98" s="21" t="str">
        <x:v>Extraído del PDF.</x:v>
      </x:c>
      <x:c r="Q98" s="21" t="str">
        <x:v>LX-4076 LIJADORA ROTO ORBITAL NEUMATICA</x:v>
      </x:c>
    </x:row>
    <x:row r="99">
      <x:c r="A99" s="21" t="n">
        <x:v>98</x:v>
      </x:c>
      <x:c r="B99" s="21" t="str">
        <x:v>Jardinería / Camping / Exterior</x:v>
      </x:c>
      <x:c r="C99" s="21" t="str">
        <x:v>GBL-8</x:v>
      </x:c>
      <x:c r="D99" s="21" t="str">
        <x:v>GAZEBO 3x3 TELA OXFORD</x:v>
      </x:c>
      <x:c r="E99" s="21" t="str">
        <x:v>Producto para jardín, camping y exterior. Recomendado para mantenimiento de espacios verdes, uso recreativo y tareas outdoor.</x:v>
      </x:c>
      <x:c r="F99" s="40" t="n">
        <x:v>139900</x:v>
      </x:c>
      <x:c r="G99" s="23" t="n">
        <x:f>IFERROR(VLOOKUP(B99,Configuracion!$A$9:$C$19,2,FALSE),Configuracion!$B$5)</x:f>
        <x:v>0.25</x:v>
      </x:c>
      <x:c r="H99" s="22" t="n">
        <x:f>ROUNDUP(F99*(1+G99)/Configuracion!$B$3,0)*Configuracion!$B$3</x:f>
        <x:v>174900</x:v>
      </x:c>
      <x:c r="I99" s="23" t="n">
        <x:f>IFERROR(VLOOKUP(B99,Configuracion!$A$9:$C$19,3,FALSE),Configuracion!$C$5)</x:f>
        <x:v>0.45</x:v>
      </x:c>
      <x:c r="J99" s="22" t="n">
        <x:f>ROUNDUP(F99*(1+I99)/Configuracion!$B$3,0)*Configuracion!$B$3</x:f>
        <x:v>202900</x:v>
      </x:c>
      <x:c r="K99" s="22" t="n">
        <x:f>ROUNDUP(J99*(1-Configuracion!$B$4)/Configuracion!$B$3,0)*Configuracion!$B$3</x:f>
        <x:v>192800</x:v>
      </x:c>
      <x:c r="L99" s="21" t="str"/>
      <x:c r="M99" s="21" t="str">
        <x:v>Unidad</x:v>
      </x:c>
      <x:c r="N99" s="21" t="str">
        <x:v>OK</x:v>
      </x:c>
      <x:c r="O99" s="21" t="n">
        <x:v>43</x:v>
      </x:c>
      <x:c r="P99" s="21" t="str">
        <x:v>Extraído del PDF.</x:v>
      </x:c>
      <x:c r="Q99" s="21" t="str">
        <x:v>GBL-8 - GAZEBO 3x3 TELA OXFORD</x:v>
      </x:c>
    </x:row>
    <x:row r="100">
      <x:c r="A100" s="21" t="n">
        <x:v>99</x:v>
      </x:c>
      <x:c r="B100" s="21" t="str">
        <x:v>Jardinería / Camping / Exterior</x:v>
      </x:c>
      <x:c r="C100" s="21" t="str">
        <x:v>JK-1008P</x:v>
      </x:c>
      <x:c r="D100" s="21" t="str">
        <x:v>CALEFACTOR EXTERIOR GAS BLANCO CON PELOT A</x:v>
      </x:c>
      <x:c r="E100" s="21" t="str">
        <x:v>Producto Lusqtoff para uso profesional, taller, hogar o mantenimiento. Consultar disponibilidad y garantía oficial.</x:v>
      </x:c>
      <x:c r="F100" s="40" t="n">
        <x:v>272132.54</x:v>
      </x:c>
      <x:c r="G100" s="23" t="n">
        <x:f>IFERROR(VLOOKUP(B100,Configuracion!$A$9:$C$19,2,FALSE),Configuracion!$B$5)</x:f>
        <x:v>0.25</x:v>
      </x:c>
      <x:c r="H100" s="22" t="n">
        <x:f>ROUNDUP(F100*(1+G100)/Configuracion!$B$3,0)*Configuracion!$B$3</x:f>
        <x:v>340200</x:v>
      </x:c>
      <x:c r="I100" s="23" t="n">
        <x:f>IFERROR(VLOOKUP(B100,Configuracion!$A$9:$C$19,3,FALSE),Configuracion!$C$5)</x:f>
        <x:v>0.45</x:v>
      </x:c>
      <x:c r="J100" s="22" t="n">
        <x:f>ROUNDUP(F100*(1+I100)/Configuracion!$B$3,0)*Configuracion!$B$3</x:f>
        <x:v>394600</x:v>
      </x:c>
      <x:c r="K100" s="22" t="n">
        <x:f>ROUNDUP(J100*(1-Configuracion!$B$4)/Configuracion!$B$3,0)*Configuracion!$B$3</x:f>
        <x:v>374900</x:v>
      </x:c>
      <x:c r="L100" s="21" t="str"/>
      <x:c r="M100" s="21" t="str">
        <x:v>Unidad</x:v>
      </x:c>
      <x:c r="N100" s="21" t="str">
        <x:v>Revisar OCR</x:v>
      </x:c>
      <x:c r="O100" s="21" t="n">
        <x:v>44</x:v>
      </x:c>
      <x:c r="P100" s="21" t="str">
        <x:v>Extraído por OCR del PDF; revisar imagen si el código o texto aparece con dudas.</x:v>
      </x:c>
      <x:c r="Q100" s="21" t="str">
        <x:v>JK-1008P CALEFACTOR EXTERIOR GAS BLANCO CON PELOT A</x:v>
      </x:c>
    </x:row>
    <x:row r="101">
      <x:c r="A101" s="21" t="n">
        <x:v>100</x:v>
      </x:c>
      <x:c r="B101" s="21" t="str">
        <x:v>Jardinería / Camping / Exterior</x:v>
      </x:c>
      <x:c r="C101" s="21" t="str">
        <x:v>JK-1010</x:v>
      </x:c>
      <x:c r="D101" s="21" t="str">
        <x:v>CALEFACTOR GAS GARRAFA -6M 1000</x:v>
      </x:c>
      <x:c r="E101" s="21" t="str">
        <x:v>Producto Lusqtoff para uso profesional, taller, hogar o mantenimiento. Consultar disponibilidad y garantía oficial.</x:v>
      </x:c>
      <x:c r="F101" s="40" t="n">
        <x:v>477515.59</x:v>
      </x:c>
      <x:c r="G101" s="23" t="n">
        <x:f>IFERROR(VLOOKUP(B101,Configuracion!$A$9:$C$19,2,FALSE),Configuracion!$B$5)</x:f>
        <x:v>0.25</x:v>
      </x:c>
      <x:c r="H101" s="22" t="n">
        <x:f>ROUNDUP(F101*(1+G101)/Configuracion!$B$3,0)*Configuracion!$B$3</x:f>
        <x:v>596900</x:v>
      </x:c>
      <x:c r="I101" s="23" t="n">
        <x:f>IFERROR(VLOOKUP(B101,Configuracion!$A$9:$C$19,3,FALSE),Configuracion!$C$5)</x:f>
        <x:v>0.45</x:v>
      </x:c>
      <x:c r="J101" s="22" t="n">
        <x:f>ROUNDUP(F101*(1+I101)/Configuracion!$B$3,0)*Configuracion!$B$3</x:f>
        <x:v>692400</x:v>
      </x:c>
      <x:c r="K101" s="22" t="n">
        <x:f>ROUNDUP(J101*(1-Configuracion!$B$4)/Configuracion!$B$3,0)*Configuracion!$B$3</x:f>
        <x:v>657800</x:v>
      </x:c>
      <x:c r="L101" s="21" t="str"/>
      <x:c r="M101" s="21" t="str">
        <x:v>Unidad</x:v>
      </x:c>
      <x:c r="N101" s="21" t="str">
        <x:v>Revisar OCR</x:v>
      </x:c>
      <x:c r="O101" s="21" t="n">
        <x:v>44</x:v>
      </x:c>
      <x:c r="P101" s="21" t="str">
        <x:v>Extraído por OCR del PDF; revisar imagen si el código o texto aparece con dudas.</x:v>
      </x:c>
      <x:c r="Q101" s="21" t="str">
        <x:v>JK-1010 CALEFACTOR GAS GARRAFA -6M 1000</x:v>
      </x:c>
    </x:row>
    <x:row r="102">
      <x:c r="A102" s="21" t="n">
        <x:v>101</x:v>
      </x:c>
      <x:c r="B102" s="21" t="str">
        <x:v>Jardinería / Camping / Exterior</x:v>
      </x:c>
      <x:c r="C102" s="21" t="str">
        <x:v>ANL2000-72</x:v>
      </x:c>
      <x:c r="D102" s="21" t="str">
        <x:v>ANAFE ELECTRICO 2 HORNALLAS 1000W</x:v>
      </x:c>
      <x:c r="E102" s="21" t="str">
        <x:v>Producto Lusqtoff para uso profesional, taller, hogar o mantenimiento. Consultar disponibilidad y garantía oficial.</x:v>
      </x:c>
      <x:c r="F102" s="40" t="n">
        <x:v>38940</x:v>
      </x:c>
      <x:c r="G102" s="23" t="n">
        <x:f>IFERROR(VLOOKUP(B102,Configuracion!$A$9:$C$19,2,FALSE),Configuracion!$B$5)</x:f>
        <x:v>0.25</x:v>
      </x:c>
      <x:c r="H102" s="22" t="n">
        <x:f>ROUNDUP(F102*(1+G102)/Configuracion!$B$3,0)*Configuracion!$B$3</x:f>
        <x:v>48700</x:v>
      </x:c>
      <x:c r="I102" s="23" t="n">
        <x:f>IFERROR(VLOOKUP(B102,Configuracion!$A$9:$C$19,3,FALSE),Configuracion!$C$5)</x:f>
        <x:v>0.45</x:v>
      </x:c>
      <x:c r="J102" s="22" t="n">
        <x:f>ROUNDUP(F102*(1+I102)/Configuracion!$B$3,0)*Configuracion!$B$3</x:f>
        <x:v>56500</x:v>
      </x:c>
      <x:c r="K102" s="22" t="n">
        <x:f>ROUNDUP(J102*(1-Configuracion!$B$4)/Configuracion!$B$3,0)*Configuracion!$B$3</x:f>
        <x:v>53700</x:v>
      </x:c>
      <x:c r="L102" s="21" t="str"/>
      <x:c r="M102" s="21" t="str">
        <x:v>Unidad</x:v>
      </x:c>
      <x:c r="N102" s="21" t="str">
        <x:v>Revisar OCR</x:v>
      </x:c>
      <x:c r="O102" s="21" t="n">
        <x:v>45</x:v>
      </x:c>
      <x:c r="P102" s="21" t="str">
        <x:v>Extraído por OCR del PDF; revisar imagen si el código o texto aparece con dudas.</x:v>
      </x:c>
      <x:c r="Q102" s="21" t="str">
        <x:v>ANL2000-72 // ANAFE ELECTRICO 2 HORNALLAS 1000W</x:v>
      </x:c>
    </x:row>
    <x:row r="103">
      <x:c r="A103" s="21" t="n">
        <x:v>102</x:v>
      </x:c>
      <x:c r="B103" s="21" t="str">
        <x:v>Jardinería / Camping / Exterior</x:v>
      </x:c>
      <x:c r="C103" s="21" t="str">
        <x:v>LE4OO</x:v>
      </x:c>
      <x:c r="D103" s="21" t="str">
        <x:v>ESCALERA PLEGABLE ALUMINIO 4x4</x:v>
      </x:c>
      <x:c r="E103" s="21" t="str">
        <x:v>Producto Lusqtoff para uso profesional, taller, hogar o mantenimiento. Consultar disponibilidad y garantía oficial.</x:v>
      </x:c>
      <x:c r="F103" s="40" t="n">
        <x:v>146026.73</x:v>
      </x:c>
      <x:c r="G103" s="23" t="n">
        <x:f>IFERROR(VLOOKUP(B103,Configuracion!$A$9:$C$19,2,FALSE),Configuracion!$B$5)</x:f>
        <x:v>0.25</x:v>
      </x:c>
      <x:c r="H103" s="22" t="n">
        <x:f>ROUNDUP(F103*(1+G103)/Configuracion!$B$3,0)*Configuracion!$B$3</x:f>
        <x:v>182600</x:v>
      </x:c>
      <x:c r="I103" s="23" t="n">
        <x:f>IFERROR(VLOOKUP(B103,Configuracion!$A$9:$C$19,3,FALSE),Configuracion!$C$5)</x:f>
        <x:v>0.45</x:v>
      </x:c>
      <x:c r="J103" s="22" t="n">
        <x:f>ROUNDUP(F103*(1+I103)/Configuracion!$B$3,0)*Configuracion!$B$3</x:f>
        <x:v>211800</x:v>
      </x:c>
      <x:c r="K103" s="22" t="n">
        <x:f>ROUNDUP(J103*(1-Configuracion!$B$4)/Configuracion!$B$3,0)*Configuracion!$B$3</x:f>
        <x:v>201300</x:v>
      </x:c>
      <x:c r="L103" s="21" t="str"/>
      <x:c r="M103" s="21" t="str">
        <x:v>Unidad</x:v>
      </x:c>
      <x:c r="N103" s="21" t="str">
        <x:v>OK</x:v>
      </x:c>
      <x:c r="O103" s="21" t="n">
        <x:v>45</x:v>
      </x:c>
      <x:c r="P103" s="21" t="str">
        <x:v>Extraído del PDF.</x:v>
      </x:c>
      <x:c r="Q103" s="21" t="str">
        <x:v>LE4OO ESCALERA PLEGABLE ALUMINIO 4x4</x:v>
      </x:c>
    </x:row>
    <x:row r="104">
      <x:c r="A104" s="21" t="n">
        <x:v>103</x:v>
      </x:c>
      <x:c r="B104" s="21" t="str">
        <x:v>Estética y Accesorios Automotor</x:v>
      </x:c>
      <x:c r="C104" s="21" t="str">
        <x:v>HL100-7</x:v>
      </x:c>
      <x:c r="D104" s="21" t="str">
        <x:v>HIDROLAVADORA 70 BAR 1200W</x:v>
      </x:c>
      <x:c r="E104" s="21" t="str">
        <x:v>Producto para cuidado automotor, detailing y mantenimiento. Ideal para limpieza, energía auxiliar y uso de taller.</x:v>
      </x:c>
      <x:c r="F104" s="40" t="n">
        <x:v>89238</x:v>
      </x:c>
      <x:c r="G104" s="23" t="n">
        <x:f>IFERROR(VLOOKUP(B104,Configuracion!$A$9:$C$19,2,FALSE),Configuracion!$B$5)</x:f>
        <x:v>0.3</x:v>
      </x:c>
      <x:c r="H104" s="22" t="n">
        <x:f>ROUNDUP(F104*(1+G104)/Configuracion!$B$3,0)*Configuracion!$B$3</x:f>
        <x:v>116100</x:v>
      </x:c>
      <x:c r="I104" s="23" t="n">
        <x:f>IFERROR(VLOOKUP(B104,Configuracion!$A$9:$C$19,3,FALSE),Configuracion!$C$5)</x:f>
        <x:v>0.55</x:v>
      </x:c>
      <x:c r="J104" s="22" t="n">
        <x:f>ROUNDUP(F104*(1+I104)/Configuracion!$B$3,0)*Configuracion!$B$3</x:f>
        <x:v>138400</x:v>
      </x:c>
      <x:c r="K104" s="22" t="n">
        <x:f>ROUNDUP(J104*(1-Configuracion!$B$4)/Configuracion!$B$3,0)*Configuracion!$B$3</x:f>
        <x:v>131500</x:v>
      </x:c>
      <x:c r="L104" s="21" t="str"/>
      <x:c r="M104" s="21" t="str">
        <x:v>Unidad</x:v>
      </x:c>
      <x:c r="N104" s="21" t="str">
        <x:v>Revisar OCR</x:v>
      </x:c>
      <x:c r="O104" s="21" t="n">
        <x:v>46</x:v>
      </x:c>
      <x:c r="P104" s="21" t="str">
        <x:v>Extraído por OCR del PDF; revisar imagen si el código o texto aparece con dudas.</x:v>
      </x:c>
      <x:c r="Q104" s="21" t="str">
        <x:v>HL100-7 // HIDROLAVADORA 70 BAR 1200W</x:v>
      </x:c>
    </x:row>
    <x:row r="105">
      <x:c r="A105" s="21" t="n">
        <x:v>104</x:v>
      </x:c>
      <x:c r="B105" s="21" t="str">
        <x:v>Estética y Accesorios Automotor</x:v>
      </x:c>
      <x:c r="C105" s="21" t="str">
        <x:v>LT-590</x:v>
      </x:c>
      <x:c r="D105" s="21" t="str">
        <x:v>HIDROLAVADORA ELÉCTRICA PROFESIONAL 2200W</x:v>
      </x:c>
      <x:c r="E105" s="21" t="str">
        <x:v>Producto para cuidado automotor, detailing y mantenimiento. Ideal para limpieza, energía auxiliar y uso de taller.</x:v>
      </x:c>
      <x:c r="F105" s="40" t="n">
        <x:v>456000</x:v>
      </x:c>
      <x:c r="G105" s="23" t="n">
        <x:f>IFERROR(VLOOKUP(B105,Configuracion!$A$9:$C$19,2,FALSE),Configuracion!$B$5)</x:f>
        <x:v>0.3</x:v>
      </x:c>
      <x:c r="H105" s="22" t="n">
        <x:f>ROUNDUP(F105*(1+G105)/Configuracion!$B$3,0)*Configuracion!$B$3</x:f>
        <x:v>592800</x:v>
      </x:c>
      <x:c r="I105" s="23" t="n">
        <x:f>IFERROR(VLOOKUP(B105,Configuracion!$A$9:$C$19,3,FALSE),Configuracion!$C$5)</x:f>
        <x:v>0.55</x:v>
      </x:c>
      <x:c r="J105" s="22" t="n">
        <x:f>ROUNDUP(F105*(1+I105)/Configuracion!$B$3,0)*Configuracion!$B$3</x:f>
        <x:v>706800</x:v>
      </x:c>
      <x:c r="K105" s="22" t="n">
        <x:f>ROUNDUP(J105*(1-Configuracion!$B$4)/Configuracion!$B$3,0)*Configuracion!$B$3</x:f>
        <x:v>671500</x:v>
      </x:c>
      <x:c r="L105" s="21" t="str"/>
      <x:c r="M105" s="21" t="str">
        <x:v>Unidad</x:v>
      </x:c>
      <x:c r="N105" s="21" t="str">
        <x:v>Revisar OCR</x:v>
      </x:c>
      <x:c r="O105" s="21" t="n">
        <x:v>46</x:v>
      </x:c>
      <x:c r="P105" s="21" t="str">
        <x:v>Extraído por OCR del PDF; revisar imagen si el código o texto aparece con dudas.</x:v>
      </x:c>
      <x:c r="Q105" s="21" t="str">
        <x:v>LT-590 HIDROLAVADORA ELÉCTRICA PROFESIONAL 2200W</x:v>
      </x:c>
    </x:row>
    <x:row r="106">
      <x:c r="A106" s="21" t="n">
        <x:v>105</x:v>
      </x:c>
      <x:c r="B106" s="21" t="str">
        <x:v>Jardinería / Camping / Exterior</x:v>
      </x:c>
      <x:c r="C106" s="21" t="str">
        <x:v>ESL166-75</x:v>
      </x:c>
      <x:c r="D106" s="21" t="str">
        <x:v>ESCALERA HOGAREÑA 5ESCALONES</x:v>
      </x:c>
      <x:c r="E106" s="21" t="str">
        <x:v>Producto Lusqtoff para uso profesional, taller, hogar o mantenimiento. Consultar disponibilidad y garantía oficial.</x:v>
      </x:c>
      <x:c r="F106" s="40" t="n">
        <x:v>81125.96</x:v>
      </x:c>
      <x:c r="G106" s="23" t="n">
        <x:f>IFERROR(VLOOKUP(B106,Configuracion!$A$9:$C$19,2,FALSE),Configuracion!$B$5)</x:f>
        <x:v>0.25</x:v>
      </x:c>
      <x:c r="H106" s="22" t="n">
        <x:f>ROUNDUP(F106*(1+G106)/Configuracion!$B$3,0)*Configuracion!$B$3</x:f>
        <x:v>101500</x:v>
      </x:c>
      <x:c r="I106" s="23" t="n">
        <x:f>IFERROR(VLOOKUP(B106,Configuracion!$A$9:$C$19,3,FALSE),Configuracion!$C$5)</x:f>
        <x:v>0.45</x:v>
      </x:c>
      <x:c r="J106" s="22" t="n">
        <x:f>ROUNDUP(F106*(1+I106)/Configuracion!$B$3,0)*Configuracion!$B$3</x:f>
        <x:v>117700</x:v>
      </x:c>
      <x:c r="K106" s="22" t="n">
        <x:f>ROUNDUP(J106*(1-Configuracion!$B$4)/Configuracion!$B$3,0)*Configuracion!$B$3</x:f>
        <x:v>111900</x:v>
      </x:c>
      <x:c r="L106" s="21" t="str"/>
      <x:c r="M106" s="21" t="str">
        <x:v>Unidad</x:v>
      </x:c>
      <x:c r="N106" s="21" t="str">
        <x:v>Revisar OCR</x:v>
      </x:c>
      <x:c r="O106" s="21" t="n">
        <x:v>46</x:v>
      </x:c>
      <x:c r="P106" s="21" t="str">
        <x:v>Extraído por OCR del PDF; revisar imagen si el código o texto aparece con dudas.</x:v>
      </x:c>
      <x:c r="Q106" s="21" t="str">
        <x:v>ESL166-75 ESCALERA HOGAREÑA 5ESCALONES</x:v>
      </x:c>
    </x:row>
    <x:row r="107">
      <x:c r="A107" s="21" t="n">
        <x:v>106</x:v>
      </x:c>
      <x:c r="B107" s="21" t="str">
        <x:v>Estética y Accesorios Automotor</x:v>
      </x:c>
      <x:c r="C107" s="21" t="str">
        <x:v>LH-75</x:v>
      </x:c>
      <x:c r="D107" s="21" t="str">
        <x:v>HIDROLAVADORA A EXPLOSION 75</x:v>
      </x:c>
      <x:c r="E107" s="21" t="str">
        <x:v>Producto para cuidado automotor, detailing y mantenimiento. Ideal para limpieza, energía auxiliar y uso de taller.</x:v>
      </x:c>
      <x:c r="F107" s="40" t="n">
        <x:v>790020</x:v>
      </x:c>
      <x:c r="G107" s="23" t="n">
        <x:f>IFERROR(VLOOKUP(B107,Configuracion!$A$9:$C$19,2,FALSE),Configuracion!$B$5)</x:f>
        <x:v>0.3</x:v>
      </x:c>
      <x:c r="H107" s="22" t="n">
        <x:f>ROUNDUP(F107*(1+G107)/Configuracion!$B$3,0)*Configuracion!$B$3</x:f>
        <x:v>1027100</x:v>
      </x:c>
      <x:c r="I107" s="23" t="n">
        <x:f>IFERROR(VLOOKUP(B107,Configuracion!$A$9:$C$19,3,FALSE),Configuracion!$C$5)</x:f>
        <x:v>0.55</x:v>
      </x:c>
      <x:c r="J107" s="22" t="n">
        <x:f>ROUNDUP(F107*(1+I107)/Configuracion!$B$3,0)*Configuracion!$B$3</x:f>
        <x:v>1224600</x:v>
      </x:c>
      <x:c r="K107" s="22" t="n">
        <x:f>ROUNDUP(J107*(1-Configuracion!$B$4)/Configuracion!$B$3,0)*Configuracion!$B$3</x:f>
        <x:v>1163400</x:v>
      </x:c>
      <x:c r="L107" s="21" t="str"/>
      <x:c r="M107" s="21" t="str">
        <x:v>Unidad</x:v>
      </x:c>
      <x:c r="N107" s="21" t="str">
        <x:v>Revisar OCR</x:v>
      </x:c>
      <x:c r="O107" s="21" t="n">
        <x:v>47</x:v>
      </x:c>
      <x:c r="P107" s="21" t="str">
        <x:v>Extraído por OCR del PDF; revisar imagen si el código o texto aparece con dudas.</x:v>
      </x:c>
      <x:c r="Q107" s="21" t="str">
        <x:v>LH-75 // HIDROLAVADORA A EXPLOSION 75</x:v>
      </x:c>
    </x:row>
    <x:row r="108">
      <x:c r="A108" s="21" t="n">
        <x:v>107</x:v>
      </x:c>
      <x:c r="B108" s="21" t="str">
        <x:v>Estética y Accesorios Automotor</x:v>
      </x:c>
      <x:c r="C108" s="21" t="str">
        <x:v>HL-120</x:v>
      </x:c>
      <x:c r="D108" s="21" t="str">
        <x:v>HIDROLAVADORA ELECTRICA</x:v>
      </x:c>
      <x:c r="E108" s="21" t="str">
        <x:v>Producto para cuidado automotor, detailing y mantenimiento. Ideal para limpieza, energía auxiliar y uso de taller.</x:v>
      </x:c>
      <x:c r="F108" s="40" t="n">
        <x:v>102640.18</x:v>
      </x:c>
      <x:c r="G108" s="23" t="n">
        <x:f>IFERROR(VLOOKUP(B108,Configuracion!$A$9:$C$19,2,FALSE),Configuracion!$B$5)</x:f>
        <x:v>0.3</x:v>
      </x:c>
      <x:c r="H108" s="22" t="n">
        <x:f>ROUNDUP(F108*(1+G108)/Configuracion!$B$3,0)*Configuracion!$B$3</x:f>
        <x:v>133500</x:v>
      </x:c>
      <x:c r="I108" s="23" t="n">
        <x:f>IFERROR(VLOOKUP(B108,Configuracion!$A$9:$C$19,3,FALSE),Configuracion!$C$5)</x:f>
        <x:v>0.55</x:v>
      </x:c>
      <x:c r="J108" s="22" t="n">
        <x:f>ROUNDUP(F108*(1+I108)/Configuracion!$B$3,0)*Configuracion!$B$3</x:f>
        <x:v>159100</x:v>
      </x:c>
      <x:c r="K108" s="22" t="n">
        <x:f>ROUNDUP(J108*(1-Configuracion!$B$4)/Configuracion!$B$3,0)*Configuracion!$B$3</x:f>
        <x:v>151200</x:v>
      </x:c>
      <x:c r="L108" s="21" t="str"/>
      <x:c r="M108" s="21" t="str">
        <x:v>Unidad</x:v>
      </x:c>
      <x:c r="N108" s="21" t="str">
        <x:v>Revisar OCR</x:v>
      </x:c>
      <x:c r="O108" s="21" t="n">
        <x:v>47</x:v>
      </x:c>
      <x:c r="P108" s="21" t="str">
        <x:v>Extraído por OCR del PDF; revisar imagen si el código o texto aparece con dudas.</x:v>
      </x:c>
      <x:c r="Q108" s="21" t="str">
        <x:v>HL-120 HIDROLAVADORA ELECTRICA</x:v>
      </x:c>
    </x:row>
    <x:row r="109">
      <x:c r="A109" s="21" t="n">
        <x:v>108</x:v>
      </x:c>
      <x:c r="B109" s="21" t="str">
        <x:v>Jardinería / Camping / Exterior</x:v>
      </x:c>
      <x:c r="C109" s="21" t="str">
        <x:v>ESL2000-8</x:v>
      </x:c>
      <x:c r="D109" s="21" t="str">
        <x:v>ELECTROSIERRA 2000W</x:v>
      </x:c>
      <x:c r="E109" s="21" t="str">
        <x:v>Herramienta para carpintería, corte, lijado y terminación en madera. Recomendada para trabajos precisos y terminación prolija.</x:v>
      </x:c>
      <x:c r="F109" s="40" t="n">
        <x:v>113575</x:v>
      </x:c>
      <x:c r="G109" s="23" t="n">
        <x:f>IFERROR(VLOOKUP(B109,Configuracion!$A$9:$C$19,2,FALSE),Configuracion!$B$5)</x:f>
        <x:v>0.25</x:v>
      </x:c>
      <x:c r="H109" s="22" t="n">
        <x:f>ROUNDUP(F109*(1+G109)/Configuracion!$B$3,0)*Configuracion!$B$3</x:f>
        <x:v>142000</x:v>
      </x:c>
      <x:c r="I109" s="23" t="n">
        <x:f>IFERROR(VLOOKUP(B109,Configuracion!$A$9:$C$19,3,FALSE),Configuracion!$C$5)</x:f>
        <x:v>0.45</x:v>
      </x:c>
      <x:c r="J109" s="22" t="n">
        <x:f>ROUNDUP(F109*(1+I109)/Configuracion!$B$3,0)*Configuracion!$B$3</x:f>
        <x:v>164700</x:v>
      </x:c>
      <x:c r="K109" s="22" t="n">
        <x:f>ROUNDUP(J109*(1-Configuracion!$B$4)/Configuracion!$B$3,0)*Configuracion!$B$3</x:f>
        <x:v>156500</x:v>
      </x:c>
      <x:c r="L109" s="21" t="str"/>
      <x:c r="M109" s="21" t="str">
        <x:v>Unidad</x:v>
      </x:c>
      <x:c r="N109" s="21" t="str">
        <x:v>OK</x:v>
      </x:c>
      <x:c r="O109" s="21" t="n">
        <x:v>48</x:v>
      </x:c>
      <x:c r="P109" s="21" t="str">
        <x:v>Extraído del PDF.</x:v>
      </x:c>
      <x:c r="Q109" s="21" t="str">
        <x:v>ESL2000-8 // ELECTROSIERRA 2000W</x:v>
      </x:c>
    </x:row>
    <x:row r="110">
      <x:c r="A110" s="21" t="n">
        <x:v>109</x:v>
      </x:c>
      <x:c r="B110" s="21" t="str">
        <x:v>Jardinería / Camping / Exterior</x:v>
      </x:c>
      <x:c r="C110" s="21" t="str">
        <x:v>GP40-7BK</x:v>
      </x:c>
      <x:c r="D110" s="21" t="str">
        <x:v>MINI MOTOSIERRA A BATERIA</x:v>
      </x:c>
      <x:c r="E110" s="21" t="str">
        <x:v>Herramienta para carpintería, corte, lijado y terminación en madera. Recomendada para trabajos precisos y terminación prolija.</x:v>
      </x:c>
      <x:c r="F110" s="40" t="n">
        <x:v>70112</x:v>
      </x:c>
      <x:c r="G110" s="23" t="n">
        <x:f>IFERROR(VLOOKUP(B110,Configuracion!$A$9:$C$19,2,FALSE),Configuracion!$B$5)</x:f>
        <x:v>0.25</x:v>
      </x:c>
      <x:c r="H110" s="22" t="n">
        <x:f>ROUNDUP(F110*(1+G110)/Configuracion!$B$3,0)*Configuracion!$B$3</x:f>
        <x:v>87700</x:v>
      </x:c>
      <x:c r="I110" s="23" t="n">
        <x:f>IFERROR(VLOOKUP(B110,Configuracion!$A$9:$C$19,3,FALSE),Configuracion!$C$5)</x:f>
        <x:v>0.45</x:v>
      </x:c>
      <x:c r="J110" s="22" t="n">
        <x:f>ROUNDUP(F110*(1+I110)/Configuracion!$B$3,0)*Configuracion!$B$3</x:f>
        <x:v>101700</x:v>
      </x:c>
      <x:c r="K110" s="22" t="n">
        <x:f>ROUNDUP(J110*(1-Configuracion!$B$4)/Configuracion!$B$3,0)*Configuracion!$B$3</x:f>
        <x:v>96700</x:v>
      </x:c>
      <x:c r="L110" s="21" t="str"/>
      <x:c r="M110" s="21" t="str">
        <x:v>Unidad</x:v>
      </x:c>
      <x:c r="N110" s="21" t="str">
        <x:v>OK</x:v>
      </x:c>
      <x:c r="O110" s="21" t="n">
        <x:v>48</x:v>
      </x:c>
      <x:c r="P110" s="21" t="str">
        <x:v>Extraído del PDF.</x:v>
      </x:c>
      <x:c r="Q110" s="21" t="str">
        <x:v>GP40-7BK // MINI MOTOSIERRA A BATERIA</x:v>
      </x:c>
    </x:row>
    <x:row r="111">
      <x:c r="A111" s="21" t="n">
        <x:v>110</x:v>
      </x:c>
      <x:c r="B111" s="21" t="str">
        <x:v>Jardinería / Camping / Exterior</x:v>
      </x:c>
      <x:c r="C111" s="21" t="str">
        <x:v>BL18-8B</x:v>
      </x:c>
      <x:c r="D111" s="21" t="str">
        <x:v>BORDEADORA A BATERIA</x:v>
      </x:c>
      <x:c r="E111" s="21" t="str">
        <x:v>Producto para jardín, camping y exterior. Recomendado para mantenimiento de espacios verdes, uso recreativo y tareas outdoor.</x:v>
      </x:c>
      <x:c r="F111" s="40" t="n">
        <x:v>69000</x:v>
      </x:c>
      <x:c r="G111" s="23" t="n">
        <x:f>IFERROR(VLOOKUP(B111,Configuracion!$A$9:$C$19,2,FALSE),Configuracion!$B$5)</x:f>
        <x:v>0.25</x:v>
      </x:c>
      <x:c r="H111" s="22" t="n">
        <x:f>ROUNDUP(F111*(1+G111)/Configuracion!$B$3,0)*Configuracion!$B$3</x:f>
        <x:v>86300</x:v>
      </x:c>
      <x:c r="I111" s="23" t="n">
        <x:f>IFERROR(VLOOKUP(B111,Configuracion!$A$9:$C$19,3,FALSE),Configuracion!$C$5)</x:f>
        <x:v>0.45</x:v>
      </x:c>
      <x:c r="J111" s="22" t="n">
        <x:f>ROUNDUP(F111*(1+I111)/Configuracion!$B$3,0)*Configuracion!$B$3</x:f>
        <x:v>100100</x:v>
      </x:c>
      <x:c r="K111" s="22" t="n">
        <x:f>ROUNDUP(J111*(1-Configuracion!$B$4)/Configuracion!$B$3,0)*Configuracion!$B$3</x:f>
        <x:v>95100</x:v>
      </x:c>
      <x:c r="L111" s="21" t="str"/>
      <x:c r="M111" s="21" t="str">
        <x:v>Unidad</x:v>
      </x:c>
      <x:c r="N111" s="21" t="str">
        <x:v>OK</x:v>
      </x:c>
      <x:c r="O111" s="21" t="n">
        <x:v>49</x:v>
      </x:c>
      <x:c r="P111" s="21" t="str">
        <x:v>Extraído del PDF.</x:v>
      </x:c>
      <x:c r="Q111" s="21" t="str">
        <x:v>BL18-8B - BORDEADORA A BATERIA</x:v>
      </x:c>
    </x:row>
    <x:row r="112">
      <x:c r="A112" s="21" t="n">
        <x:v>111</x:v>
      </x:c>
      <x:c r="B112" s="21" t="str">
        <x:v>Jardinería / Camping / Exterior</x:v>
      </x:c>
      <x:c r="C112" s="21" t="str">
        <x:v>LCO-1640B</x:v>
      </x:c>
      <x:c r="D112" s="21" t="str">
        <x:v>CORTADORA DE CESPED 1600W LUSQTOFF</x:v>
      </x:c>
      <x:c r="E112" s="21" t="str">
        <x:v>Producto orientado a corte, desbaste y terminación. Recomendado para metal, obra y mantenimiento general.</x:v>
      </x:c>
      <x:c r="F112" s="40" t="n">
        <x:v>194466.94</x:v>
      </x:c>
      <x:c r="G112" s="23" t="n">
        <x:f>IFERROR(VLOOKUP(B112,Configuracion!$A$9:$C$19,2,FALSE),Configuracion!$B$5)</x:f>
        <x:v>0.25</x:v>
      </x:c>
      <x:c r="H112" s="22" t="n">
        <x:f>ROUNDUP(F112*(1+G112)/Configuracion!$B$3,0)*Configuracion!$B$3</x:f>
        <x:v>243100</x:v>
      </x:c>
      <x:c r="I112" s="23" t="n">
        <x:f>IFERROR(VLOOKUP(B112,Configuracion!$A$9:$C$19,3,FALSE),Configuracion!$C$5)</x:f>
        <x:v>0.45</x:v>
      </x:c>
      <x:c r="J112" s="22" t="n">
        <x:f>ROUNDUP(F112*(1+I112)/Configuracion!$B$3,0)*Configuracion!$B$3</x:f>
        <x:v>282000</x:v>
      </x:c>
      <x:c r="K112" s="22" t="n">
        <x:f>ROUNDUP(J112*(1-Configuracion!$B$4)/Configuracion!$B$3,0)*Configuracion!$B$3</x:f>
        <x:v>267900</x:v>
      </x:c>
      <x:c r="L112" s="21" t="str"/>
      <x:c r="M112" s="21" t="str">
        <x:v>Unidad</x:v>
      </x:c>
      <x:c r="N112" s="21" t="str">
        <x:v>OK</x:v>
      </x:c>
      <x:c r="O112" s="21" t="n">
        <x:v>51</x:v>
      </x:c>
      <x:c r="P112" s="21" t="str">
        <x:v>Extraído del PDF.</x:v>
      </x:c>
      <x:c r="Q112" s="21" t="str">
        <x:v>LCO-1640B // CORTADORA DE CESPED 1600W LUSQTOFF</x:v>
      </x:c>
    </x:row>
    <x:row r="113">
      <x:c r="A113" s="21" t="n">
        <x:v>112</x:v>
      </x:c>
      <x:c r="B113" s="21" t="str">
        <x:v>Jardinería / Camping / Exterior</x:v>
      </x:c>
      <x:c r="C113" s="21" t="str">
        <x:v>1C0-10328</x:v>
      </x:c>
      <x:c r="D113" s="21" t="str">
        <x:v>CORTADORA DE CESPED ELECTRICA</x:v>
      </x:c>
      <x:c r="E113" s="21" t="str">
        <x:v>Producto orientado a corte, desbaste y terminación. Recomendado para metal, obra y mantenimiento general.</x:v>
      </x:c>
      <x:c r="F113" s="40" t="n">
        <x:v>176834.81</x:v>
      </x:c>
      <x:c r="G113" s="23" t="n">
        <x:f>IFERROR(VLOOKUP(B113,Configuracion!$A$9:$C$19,2,FALSE),Configuracion!$B$5)</x:f>
        <x:v>0.25</x:v>
      </x:c>
      <x:c r="H113" s="22" t="n">
        <x:f>ROUNDUP(F113*(1+G113)/Configuracion!$B$3,0)*Configuracion!$B$3</x:f>
        <x:v>221100</x:v>
      </x:c>
      <x:c r="I113" s="23" t="n">
        <x:f>IFERROR(VLOOKUP(B113,Configuracion!$A$9:$C$19,3,FALSE),Configuracion!$C$5)</x:f>
        <x:v>0.45</x:v>
      </x:c>
      <x:c r="J113" s="22" t="n">
        <x:f>ROUNDUP(F113*(1+I113)/Configuracion!$B$3,0)*Configuracion!$B$3</x:f>
        <x:v>256500</x:v>
      </x:c>
      <x:c r="K113" s="22" t="n">
        <x:f>ROUNDUP(J113*(1-Configuracion!$B$4)/Configuracion!$B$3,0)*Configuracion!$B$3</x:f>
        <x:v>243700</x:v>
      </x:c>
      <x:c r="L113" s="21" t="str"/>
      <x:c r="M113" s="21" t="str">
        <x:v>Unidad</x:v>
      </x:c>
      <x:c r="N113" s="21" t="str">
        <x:v>Revisar OCR</x:v>
      </x:c>
      <x:c r="O113" s="21" t="n">
        <x:v>51</x:v>
      </x:c>
      <x:c r="P113" s="21" t="str">
        <x:v>Extraído del PDF.</x:v>
      </x:c>
      <x:c r="Q113" s="21" t="str">
        <x:v>1C0-10328 // CORTADORA DE CESPED ELECTRICA</x:v>
      </x:c>
    </x:row>
    <x:row r="114">
      <x:c r="A114" s="21" t="n">
        <x:v>113</x:v>
      </x:c>
      <x:c r="B114" s="21" t="str">
        <x:v>Jardinería / Camping / Exterior</x:v>
      </x:c>
      <x:c r="C114" s="21" t="str"/>
      <x:c r="D114" s="21" t="str">
        <x:v>‘SPL2400-8 - SOPLADOR ASPIRADOR ELECTRICO 2400W</x:v>
      </x:c>
      <x:c r="E114" s="21" t="str">
        <x:v>Producto Lusqtoff para uso profesional, taller, hogar o mantenimiento. Consultar disponibilidad y garantía oficial.</x:v>
      </x:c>
      <x:c r="F114" s="40" t="n">
        <x:v>69979.14</x:v>
      </x:c>
      <x:c r="G114" s="23" t="n">
        <x:f>IFERROR(VLOOKUP(B114,Configuracion!$A$9:$C$19,2,FALSE),Configuracion!$B$5)</x:f>
        <x:v>0.25</x:v>
      </x:c>
      <x:c r="H114" s="22" t="n">
        <x:f>ROUNDUP(F114*(1+G114)/Configuracion!$B$3,0)*Configuracion!$B$3</x:f>
        <x:v>87500</x:v>
      </x:c>
      <x:c r="I114" s="23" t="n">
        <x:f>IFERROR(VLOOKUP(B114,Configuracion!$A$9:$C$19,3,FALSE),Configuracion!$C$5)</x:f>
        <x:v>0.45</x:v>
      </x:c>
      <x:c r="J114" s="22" t="n">
        <x:f>ROUNDUP(F114*(1+I114)/Configuracion!$B$3,0)*Configuracion!$B$3</x:f>
        <x:v>101500</x:v>
      </x:c>
      <x:c r="K114" s="22" t="n">
        <x:f>ROUNDUP(J114*(1-Configuracion!$B$4)/Configuracion!$B$3,0)*Configuracion!$B$3</x:f>
        <x:v>96500</x:v>
      </x:c>
      <x:c r="L114" s="21" t="str"/>
      <x:c r="M114" s="21" t="str">
        <x:v>Unidad</x:v>
      </x:c>
      <x:c r="N114" s="21" t="str">
        <x:v>OK</x:v>
      </x:c>
      <x:c r="O114" s="21" t="n">
        <x:v>51</x:v>
      </x:c>
      <x:c r="P114" s="21" t="str">
        <x:v>Extraído del PDF.</x:v>
      </x:c>
      <x:c r="Q114" s="21" t="str">
        <x:v>‘SPL2400-8 - SOPLADOR ASPIRADOR ELECTRICO 2400W</x:v>
      </x:c>
    </x:row>
    <x:row r="115">
      <x:c r="A115" s="21" t="n">
        <x:v>114</x:v>
      </x:c>
      <x:c r="B115" s="21" t="str">
        <x:v>Jardinería / Camping / Exterior</x:v>
      </x:c>
      <x:c r="C115" s="21" t="str">
        <x:v>LOMCP-8</x:v>
      </x:c>
      <x:c r="D115" s="21" t="str">
        <x:v>CASCO FORESTAL CERTIFICADO HASTA 291 DB</x:v>
      </x:c>
      <x:c r="E115" s="21" t="str">
        <x:v>Producto Lusqtoff para uso profesional, taller, hogar o mantenimiento. Consultar disponibilidad y garantía oficial.</x:v>
      </x:c>
      <x:c r="F115" s="40" t="n">
        <x:v>64747.01</x:v>
      </x:c>
      <x:c r="G115" s="23" t="n">
        <x:f>IFERROR(VLOOKUP(B115,Configuracion!$A$9:$C$19,2,FALSE),Configuracion!$B$5)</x:f>
        <x:v>0.25</x:v>
      </x:c>
      <x:c r="H115" s="22" t="n">
        <x:f>ROUNDUP(F115*(1+G115)/Configuracion!$B$3,0)*Configuracion!$B$3</x:f>
        <x:v>81000</x:v>
      </x:c>
      <x:c r="I115" s="23" t="n">
        <x:f>IFERROR(VLOOKUP(B115,Configuracion!$A$9:$C$19,3,FALSE),Configuracion!$C$5)</x:f>
        <x:v>0.45</x:v>
      </x:c>
      <x:c r="J115" s="22" t="n">
        <x:f>ROUNDUP(F115*(1+I115)/Configuracion!$B$3,0)*Configuracion!$B$3</x:f>
        <x:v>93900</x:v>
      </x:c>
      <x:c r="K115" s="22" t="n">
        <x:f>ROUNDUP(J115*(1-Configuracion!$B$4)/Configuracion!$B$3,0)*Configuracion!$B$3</x:f>
        <x:v>89300</x:v>
      </x:c>
      <x:c r="L115" s="21" t="str"/>
      <x:c r="M115" s="21" t="str">
        <x:v>Unidad</x:v>
      </x:c>
      <x:c r="N115" s="21" t="str">
        <x:v>OK</x:v>
      </x:c>
      <x:c r="O115" s="21" t="n">
        <x:v>52</x:v>
      </x:c>
      <x:c r="P115" s="21" t="str">
        <x:v>Extraído del PDF.</x:v>
      </x:c>
      <x:c r="Q115" s="21" t="str">
        <x:v>LOMCP-8 CASCO FORESTAL CERTIFICADO HASTA 291 DB</x:v>
      </x:c>
    </x:row>
    <x:row r="116">
      <x:c r="A116" s="21" t="n">
        <x:v>115</x:v>
      </x:c>
      <x:c r="B116" s="21" t="str">
        <x:v>Jardinería / Camping / Exterior</x:v>
      </x:c>
      <x:c r="C116" s="21" t="str">
        <x:v>COL550-8</x:v>
      </x:c>
      <x:c r="D116" s="21" t="str">
        <x:v>CORTACERCO ELECTRICO</x:v>
      </x:c>
      <x:c r="E116" s="21" t="str">
        <x:v>Producto para jardín, camping y exterior. Recomendado para mantenimiento de espacios verdes, uso recreativo y tareas outdoor.</x:v>
      </x:c>
      <x:c r="F116" s="40" t="n">
        <x:v>91241.42</x:v>
      </x:c>
      <x:c r="G116" s="23" t="n">
        <x:f>IFERROR(VLOOKUP(B116,Configuracion!$A$9:$C$19,2,FALSE),Configuracion!$B$5)</x:f>
        <x:v>0.25</x:v>
      </x:c>
      <x:c r="H116" s="22" t="n">
        <x:f>ROUNDUP(F116*(1+G116)/Configuracion!$B$3,0)*Configuracion!$B$3</x:f>
        <x:v>114100</x:v>
      </x:c>
      <x:c r="I116" s="23" t="n">
        <x:f>IFERROR(VLOOKUP(B116,Configuracion!$A$9:$C$19,3,FALSE),Configuracion!$C$5)</x:f>
        <x:v>0.45</x:v>
      </x:c>
      <x:c r="J116" s="22" t="n">
        <x:f>ROUNDUP(F116*(1+I116)/Configuracion!$B$3,0)*Configuracion!$B$3</x:f>
        <x:v>132400</x:v>
      </x:c>
      <x:c r="K116" s="22" t="n">
        <x:f>ROUNDUP(J116*(1-Configuracion!$B$4)/Configuracion!$B$3,0)*Configuracion!$B$3</x:f>
        <x:v>125800</x:v>
      </x:c>
      <x:c r="L116" s="21" t="str"/>
      <x:c r="M116" s="21" t="str">
        <x:v>Unidad</x:v>
      </x:c>
      <x:c r="N116" s="21" t="str">
        <x:v>OK</x:v>
      </x:c>
      <x:c r="O116" s="21" t="n">
        <x:v>52</x:v>
      </x:c>
      <x:c r="P116" s="21" t="str">
        <x:v>Extraído del PDF.</x:v>
      </x:c>
      <x:c r="Q116" s="21" t="str">
        <x:v>COL550-8 CORTACERCO ELECTRICO</x:v>
      </x:c>
    </x:row>
    <x:row r="117">
      <x:c r="A117" s="21" t="n">
        <x:v>116</x:v>
      </x:c>
      <x:c r="B117" s="21" t="str">
        <x:v>Jardinería / Camping / Exterior</x:v>
      </x:c>
      <x:c r="C117" s="21" t="str">
        <x:v>FPL7</x:v>
      </x:c>
      <x:c r="D117" s="21" t="str">
        <x:v>FUMIGADOR PULVERIZADOR 7LTS</x:v>
      </x:c>
      <x:c r="E117" s="21" t="str">
        <x:v>Producto para jardín, camping y exterior. Recomendado para mantenimiento de espacios verdes, uso recreativo y tareas outdoor.</x:v>
      </x:c>
      <x:c r="F117" s="40" t="n">
        <x:v>24492.7</x:v>
      </x:c>
      <x:c r="G117" s="23" t="n">
        <x:f>IFERROR(VLOOKUP(B117,Configuracion!$A$9:$C$19,2,FALSE),Configuracion!$B$5)</x:f>
        <x:v>0.25</x:v>
      </x:c>
      <x:c r="H117" s="22" t="n">
        <x:f>ROUNDUP(F117*(1+G117)/Configuracion!$B$3,0)*Configuracion!$B$3</x:f>
        <x:v>30700</x:v>
      </x:c>
      <x:c r="I117" s="23" t="n">
        <x:f>IFERROR(VLOOKUP(B117,Configuracion!$A$9:$C$19,3,FALSE),Configuracion!$C$5)</x:f>
        <x:v>0.45</x:v>
      </x:c>
      <x:c r="J117" s="22" t="n">
        <x:f>ROUNDUP(F117*(1+I117)/Configuracion!$B$3,0)*Configuracion!$B$3</x:f>
        <x:v>35600</x:v>
      </x:c>
      <x:c r="K117" s="22" t="n">
        <x:f>ROUNDUP(J117*(1-Configuracion!$B$4)/Configuracion!$B$3,0)*Configuracion!$B$3</x:f>
        <x:v>33900</x:v>
      </x:c>
      <x:c r="L117" s="21" t="str"/>
      <x:c r="M117" s="21" t="str">
        <x:v>Unidad</x:v>
      </x:c>
      <x:c r="N117" s="21" t="str">
        <x:v>Revisar OCR</x:v>
      </x:c>
      <x:c r="O117" s="21" t="n">
        <x:v>52</x:v>
      </x:c>
      <x:c r="P117" s="21" t="str">
        <x:v>Extraído por OCR del PDF; revisar imagen si el código o texto aparece con dudas.</x:v>
      </x:c>
      <x:c r="Q117" s="21" t="str">
        <x:v>FPL7 // FUMIGADOR PULVERIZADOR 7LTS</x:v>
      </x:c>
    </x:row>
    <x:row r="118">
      <x:c r="A118" s="21" t="n">
        <x:v>117</x:v>
      </x:c>
      <x:c r="B118" s="21" t="str">
        <x:v>Jardinería / Camping / Exterior</x:v>
      </x:c>
      <x:c r="C118" s="21" t="str">
        <x:v>17920</x:v>
      </x:c>
      <x:c r="D118" s="21" t="str">
        <x:v>LINTERNA LED DE ALUMINIO CILINDRICA RECARGABLE 6000 LUMENES</x:v>
      </x:c>
      <x:c r="E118" s="21" t="str">
        <x:v>Producto para jardín, camping y exterior. Recomendado para mantenimiento de espacios verdes, uso recreativo y tareas outdoor.</x:v>
      </x:c>
      <x:c r="F118" s="40" t="n">
        <x:v>76915.95</x:v>
      </x:c>
      <x:c r="G118" s="23" t="n">
        <x:f>IFERROR(VLOOKUP(B118,Configuracion!$A$9:$C$19,2,FALSE),Configuracion!$B$5)</x:f>
        <x:v>0.25</x:v>
      </x:c>
      <x:c r="H118" s="22" t="n">
        <x:f>ROUNDUP(F118*(1+G118)/Configuracion!$B$3,0)*Configuracion!$B$3</x:f>
        <x:v>96200</x:v>
      </x:c>
      <x:c r="I118" s="23" t="n">
        <x:f>IFERROR(VLOOKUP(B118,Configuracion!$A$9:$C$19,3,FALSE),Configuracion!$C$5)</x:f>
        <x:v>0.45</x:v>
      </x:c>
      <x:c r="J118" s="22" t="n">
        <x:f>ROUNDUP(F118*(1+I118)/Configuracion!$B$3,0)*Configuracion!$B$3</x:f>
        <x:v>111600</x:v>
      </x:c>
      <x:c r="K118" s="22" t="n">
        <x:f>ROUNDUP(J118*(1-Configuracion!$B$4)/Configuracion!$B$3,0)*Configuracion!$B$3</x:f>
        <x:v>106100</x:v>
      </x:c>
      <x:c r="L118" s="21" t="str"/>
      <x:c r="M118" s="21" t="str">
        <x:v>Unidad</x:v>
      </x:c>
      <x:c r="N118" s="21" t="str">
        <x:v>Revisar OCR</x:v>
      </x:c>
      <x:c r="O118" s="21" t="n">
        <x:v>53</x:v>
      </x:c>
      <x:c r="P118" s="21" t="str">
        <x:v>Extraído por OCR del PDF; revisar imagen si el código o texto aparece con dudas.</x:v>
      </x:c>
      <x:c r="Q118" s="21" t="str">
        <x:v>17920 LINTERNA LED DE ALUMINIO CILINDRICA RECARGABLE 6000 LUMENES</x:v>
      </x:c>
    </x:row>
    <x:row r="119">
      <x:c r="A119" s="21" t="n">
        <x:v>118</x:v>
      </x:c>
      <x:c r="B119" s="21" t="str">
        <x:v>Jardinería / Camping / Exterior</x:v>
      </x:c>
      <x:c r="C119" s="21" t="str">
        <x:v>17909</x:v>
      </x:c>
      <x:c r="D119" s="21" t="str">
        <x:v>LINTERNA LED RECARGABLE CON IMAN MULTIPOSIC ION</x:v>
      </x:c>
      <x:c r="E119" s="21" t="str">
        <x:v>Producto para jardín, camping y exterior. Recomendado para mantenimiento de espacios verdes, uso recreativo y tareas outdoor.</x:v>
      </x:c>
      <x:c r="F119" s="40" t="n">
        <x:v>17457.56</x:v>
      </x:c>
      <x:c r="G119" s="23" t="n">
        <x:f>IFERROR(VLOOKUP(B119,Configuracion!$A$9:$C$19,2,FALSE),Configuracion!$B$5)</x:f>
        <x:v>0.25</x:v>
      </x:c>
      <x:c r="H119" s="22" t="n">
        <x:f>ROUNDUP(F119*(1+G119)/Configuracion!$B$3,0)*Configuracion!$B$3</x:f>
        <x:v>21900</x:v>
      </x:c>
      <x:c r="I119" s="23" t="n">
        <x:f>IFERROR(VLOOKUP(B119,Configuracion!$A$9:$C$19,3,FALSE),Configuracion!$C$5)</x:f>
        <x:v>0.45</x:v>
      </x:c>
      <x:c r="J119" s="22" t="n">
        <x:f>ROUNDUP(F119*(1+I119)/Configuracion!$B$3,0)*Configuracion!$B$3</x:f>
        <x:v>25400</x:v>
      </x:c>
      <x:c r="K119" s="22" t="n">
        <x:f>ROUNDUP(J119*(1-Configuracion!$B$4)/Configuracion!$B$3,0)*Configuracion!$B$3</x:f>
        <x:v>24200</x:v>
      </x:c>
      <x:c r="L119" s="21" t="str"/>
      <x:c r="M119" s="21" t="str">
        <x:v>Unidad</x:v>
      </x:c>
      <x:c r="N119" s="21" t="str">
        <x:v>OK</x:v>
      </x:c>
      <x:c r="O119" s="21" t="n">
        <x:v>53</x:v>
      </x:c>
      <x:c r="P119" s="21" t="str">
        <x:v>Extraído del PDF.</x:v>
      </x:c>
      <x:c r="Q119" s="21" t="str">
        <x:v>17909 LINTERNA LED RECARGABLE CON IMAN MULTIPOSIC ION</x:v>
      </x:c>
    </x:row>
    <x:row r="120">
      <x:c r="A120" s="21" t="n">
        <x:v>119</x:v>
      </x:c>
      <x:c r="B120" s="21" t="str">
        <x:v>Jardinería / Camping / Exterior</x:v>
      </x:c>
      <x:c r="C120" s="21" t="str">
        <x:v>17905</x:v>
      </x:c>
      <x:c r="D120" s="21" t="str">
        <x:v>LINTERNA LED VINCHA MINERO RECARGABLE</x:v>
      </x:c>
      <x:c r="E120" s="21" t="str">
        <x:v>Producto para jardín, camping y exterior. Recomendado para mantenimiento de espacios verdes, uso recreativo y tareas outdoor.</x:v>
      </x:c>
      <x:c r="F120" s="40" t="n">
        <x:v>16944.1</x:v>
      </x:c>
      <x:c r="G120" s="23" t="n">
        <x:f>IFERROR(VLOOKUP(B120,Configuracion!$A$9:$C$19,2,FALSE),Configuracion!$B$5)</x:f>
        <x:v>0.25</x:v>
      </x:c>
      <x:c r="H120" s="22" t="n">
        <x:f>ROUNDUP(F120*(1+G120)/Configuracion!$B$3,0)*Configuracion!$B$3</x:f>
        <x:v>21200</x:v>
      </x:c>
      <x:c r="I120" s="23" t="n">
        <x:f>IFERROR(VLOOKUP(B120,Configuracion!$A$9:$C$19,3,FALSE),Configuracion!$C$5)</x:f>
        <x:v>0.45</x:v>
      </x:c>
      <x:c r="J120" s="22" t="n">
        <x:f>ROUNDUP(F120*(1+I120)/Configuracion!$B$3,0)*Configuracion!$B$3</x:f>
        <x:v>24600</x:v>
      </x:c>
      <x:c r="K120" s="22" t="n">
        <x:f>ROUNDUP(J120*(1-Configuracion!$B$4)/Configuracion!$B$3,0)*Configuracion!$B$3</x:f>
        <x:v>23400</x:v>
      </x:c>
      <x:c r="L120" s="21" t="str"/>
      <x:c r="M120" s="21" t="str">
        <x:v>Unidad</x:v>
      </x:c>
      <x:c r="N120" s="21" t="str">
        <x:v>Revisar OCR</x:v>
      </x:c>
      <x:c r="O120" s="21" t="n">
        <x:v>53</x:v>
      </x:c>
      <x:c r="P120" s="21" t="str">
        <x:v>Extraído por OCR del PDF; revisar imagen si el código o texto aparece con dudas.</x:v>
      </x:c>
      <x:c r="Q120" s="21" t="str">
        <x:v>17905 LINTERNA LED VINCHA MINERO RECARGABLE</x:v>
      </x:c>
    </x:row>
    <x:row r="121">
      <x:c r="A121" s="21" t="n">
        <x:v>120</x:v>
      </x:c>
      <x:c r="B121" s="21" t="str">
        <x:v>Jardinería / Camping / Exterior</x:v>
      </x:c>
      <x:c r="C121" s="21" t="str">
        <x:v>17922</x:v>
      </x:c>
      <x:c r="D121" s="21" t="str">
        <x:v>LINTERNA DE ALUMINIO CILINDRICA RECARGABLE 10 00 LUMENES</x:v>
      </x:c>
      <x:c r="E121" s="21" t="str">
        <x:v>Producto para jardín, camping y exterior. Recomendado para mantenimiento de espacios verdes, uso recreativo y tareas outdoor.</x:v>
      </x:c>
      <x:c r="F121" s="40" t="n">
        <x:v>40733.62</x:v>
      </x:c>
      <x:c r="G121" s="23" t="n">
        <x:f>IFERROR(VLOOKUP(B121,Configuracion!$A$9:$C$19,2,FALSE),Configuracion!$B$5)</x:f>
        <x:v>0.25</x:v>
      </x:c>
      <x:c r="H121" s="22" t="n">
        <x:f>ROUNDUP(F121*(1+G121)/Configuracion!$B$3,0)*Configuracion!$B$3</x:f>
        <x:v>51000</x:v>
      </x:c>
      <x:c r="I121" s="23" t="n">
        <x:f>IFERROR(VLOOKUP(B121,Configuracion!$A$9:$C$19,3,FALSE),Configuracion!$C$5)</x:f>
        <x:v>0.45</x:v>
      </x:c>
      <x:c r="J121" s="22" t="n">
        <x:f>ROUNDUP(F121*(1+I121)/Configuracion!$B$3,0)*Configuracion!$B$3</x:f>
        <x:v>59100</x:v>
      </x:c>
      <x:c r="K121" s="22" t="n">
        <x:f>ROUNDUP(J121*(1-Configuracion!$B$4)/Configuracion!$B$3,0)*Configuracion!$B$3</x:f>
        <x:v>56200</x:v>
      </x:c>
      <x:c r="L121" s="21" t="str"/>
      <x:c r="M121" s="21" t="str">
        <x:v>Unidad</x:v>
      </x:c>
      <x:c r="N121" s="21" t="str">
        <x:v>Revisar OCR</x:v>
      </x:c>
      <x:c r="O121" s="21" t="n">
        <x:v>54</x:v>
      </x:c>
      <x:c r="P121" s="21" t="str">
        <x:v>Extraído por OCR del PDF; revisar imagen si el código o texto aparece con dudas.</x:v>
      </x:c>
      <x:c r="Q121" s="21" t="str">
        <x:v>17922 LINTERNA DE ALUMINIO CILINDRICA RECARGABLE 10 00 LUMENES</x:v>
      </x:c>
    </x:row>
    <x:row r="122">
      <x:c r="A122" s="21" t="n">
        <x:v>121</x:v>
      </x:c>
      <x:c r="B122" s="21" t="str">
        <x:v>Jardinería / Camping / Exterior</x:v>
      </x:c>
      <x:c r="C122" s="21" t="str">
        <x:v>17926</x:v>
      </x:c>
      <x:c r="D122" s="21" t="str">
        <x:v>LINTERNA LED DE ALUMINIO CILINDRICA RECARGABL E 1000 LUMENES 2206</x:v>
      </x:c>
      <x:c r="E122" s="21" t="str">
        <x:v>Producto para jardín, camping y exterior. Recomendado para mantenimiento de espacios verdes, uso recreativo y tareas outdoor.</x:v>
      </x:c>
      <x:c r="F122" s="40" t="n">
        <x:v>27418.64</x:v>
      </x:c>
      <x:c r="G122" s="23" t="n">
        <x:f>IFERROR(VLOOKUP(B122,Configuracion!$A$9:$C$19,2,FALSE),Configuracion!$B$5)</x:f>
        <x:v>0.25</x:v>
      </x:c>
      <x:c r="H122" s="22" t="n">
        <x:f>ROUNDUP(F122*(1+G122)/Configuracion!$B$3,0)*Configuracion!$B$3</x:f>
        <x:v>34300</x:v>
      </x:c>
      <x:c r="I122" s="23" t="n">
        <x:f>IFERROR(VLOOKUP(B122,Configuracion!$A$9:$C$19,3,FALSE),Configuracion!$C$5)</x:f>
        <x:v>0.45</x:v>
      </x:c>
      <x:c r="J122" s="22" t="n">
        <x:f>ROUNDUP(F122*(1+I122)/Configuracion!$B$3,0)*Configuracion!$B$3</x:f>
        <x:v>39800</x:v>
      </x:c>
      <x:c r="K122" s="22" t="n">
        <x:f>ROUNDUP(J122*(1-Configuracion!$B$4)/Configuracion!$B$3,0)*Configuracion!$B$3</x:f>
        <x:v>37900</x:v>
      </x:c>
      <x:c r="L122" s="21" t="str"/>
      <x:c r="M122" s="21" t="str">
        <x:v>Unidad</x:v>
      </x:c>
      <x:c r="N122" s="21" t="str">
        <x:v>OK</x:v>
      </x:c>
      <x:c r="O122" s="21" t="n">
        <x:v>54</x:v>
      </x:c>
      <x:c r="P122" s="21" t="str">
        <x:v>Extraído del PDF.</x:v>
      </x:c>
      <x:c r="Q122" s="21" t="str">
        <x:v>17926 LINTERNA LED DE ALUMINIO CILINDRICA RECARGABL E 1000 LUMENES 2206</x:v>
      </x:c>
    </x:row>
    <x:row r="123">
      <x:c r="A123" s="21" t="n">
        <x:v>122</x:v>
      </x:c>
      <x:c r="B123" s="21" t="str">
        <x:v>Jardinería / Camping / Exterior</x:v>
      </x:c>
      <x:c r="C123" s="21" t="str">
        <x:v>9034</x:v>
      </x:c>
      <x:c r="D123" s="21" t="str">
        <x:v>TIJERA CORTA CERCO MANGO DE FIBRA PROFESIONAL</x:v>
      </x:c>
      <x:c r="E123" s="21" t="str">
        <x:v>Producto para jardín, camping y exterior. Recomendado para mantenimiento de espacios verdes, uso recreativo y tareas outdoor.</x:v>
      </x:c>
      <x:c r="F123" s="40" t="n">
        <x:v>34990.08</x:v>
      </x:c>
      <x:c r="G123" s="23" t="n">
        <x:f>IFERROR(VLOOKUP(B123,Configuracion!$A$9:$C$19,2,FALSE),Configuracion!$B$5)</x:f>
        <x:v>0.25</x:v>
      </x:c>
      <x:c r="H123" s="22" t="n">
        <x:f>ROUNDUP(F123*(1+G123)/Configuracion!$B$3,0)*Configuracion!$B$3</x:f>
        <x:v>43800</x:v>
      </x:c>
      <x:c r="I123" s="23" t="n">
        <x:f>IFERROR(VLOOKUP(B123,Configuracion!$A$9:$C$19,3,FALSE),Configuracion!$C$5)</x:f>
        <x:v>0.45</x:v>
      </x:c>
      <x:c r="J123" s="22" t="n">
        <x:f>ROUNDUP(F123*(1+I123)/Configuracion!$B$3,0)*Configuracion!$B$3</x:f>
        <x:v>50800</x:v>
      </x:c>
      <x:c r="K123" s="22" t="n">
        <x:f>ROUNDUP(J123*(1-Configuracion!$B$4)/Configuracion!$B$3,0)*Configuracion!$B$3</x:f>
        <x:v>48300</x:v>
      </x:c>
      <x:c r="L123" s="21" t="str"/>
      <x:c r="M123" s="21" t="str">
        <x:v>Unidad</x:v>
      </x:c>
      <x:c r="N123" s="21" t="str">
        <x:v>Revisar OCR</x:v>
      </x:c>
      <x:c r="O123" s="21" t="n">
        <x:v>54</x:v>
      </x:c>
      <x:c r="P123" s="21" t="str">
        <x:v>Extraído por OCR del PDF; revisar imagen si el código o texto aparece con dudas.</x:v>
      </x:c>
      <x:c r="Q123" s="21" t="str">
        <x:v>9034 TIJERA CORTA CERCO MANGO DE FIBRA PROFESIONAL</x:v>
      </x:c>
    </x:row>
    <x:row r="124">
      <x:c r="A124" s="21" t="n">
        <x:v>123</x:v>
      </x:c>
      <x:c r="B124" s="21" t="str">
        <x:v>Jardinería / Camping / Exterior</x:v>
      </x:c>
      <x:c r="C124" s="21" t="str">
        <x:v>L9070</x:v>
      </x:c>
      <x:c r="D124" s="21" t="str">
        <x:v>HACHA DE MANO 600GR CABO DE FIBRA X6</x:v>
      </x:c>
      <x:c r="E124" s="21" t="str">
        <x:v>Producto para jardín, camping y exterior. Recomendado para mantenimiento de espacios verdes, uso recreativo y tareas outdoor.</x:v>
      </x:c>
      <x:c r="F124" s="40" t="n">
        <x:v>13935.24</x:v>
      </x:c>
      <x:c r="G124" s="23" t="n">
        <x:f>IFERROR(VLOOKUP(B124,Configuracion!$A$9:$C$19,2,FALSE),Configuracion!$B$5)</x:f>
        <x:v>0.25</x:v>
      </x:c>
      <x:c r="H124" s="22" t="n">
        <x:f>ROUNDUP(F124*(1+G124)/Configuracion!$B$3,0)*Configuracion!$B$3</x:f>
        <x:v>17500</x:v>
      </x:c>
      <x:c r="I124" s="23" t="n">
        <x:f>IFERROR(VLOOKUP(B124,Configuracion!$A$9:$C$19,3,FALSE),Configuracion!$C$5)</x:f>
        <x:v>0.45</x:v>
      </x:c>
      <x:c r="J124" s="22" t="n">
        <x:f>ROUNDUP(F124*(1+I124)/Configuracion!$B$3,0)*Configuracion!$B$3</x:f>
        <x:v>20300</x:v>
      </x:c>
      <x:c r="K124" s="22" t="n">
        <x:f>ROUNDUP(J124*(1-Configuracion!$B$4)/Configuracion!$B$3,0)*Configuracion!$B$3</x:f>
        <x:v>19300</x:v>
      </x:c>
      <x:c r="L124" s="21" t="str"/>
      <x:c r="M124" s="21" t="str">
        <x:v>Unidad</x:v>
      </x:c>
      <x:c r="N124" s="21" t="str">
        <x:v>Revisar OCR</x:v>
      </x:c>
      <x:c r="O124" s="21" t="n">
        <x:v>55</x:v>
      </x:c>
      <x:c r="P124" s="21" t="str">
        <x:v>Extraído por OCR del PDF; revisar imagen si el código o texto aparece con dudas.</x:v>
      </x:c>
      <x:c r="Q124" s="21" t="str">
        <x:v>L9070 HACHA DE MANO 600GR CABO DE FIBRA X6</x:v>
      </x:c>
    </x:row>
    <x:row r="125">
      <x:c r="A125" s="21" t="n">
        <x:v>124</x:v>
      </x:c>
      <x:c r="B125" s="21" t="str">
        <x:v>Jardinería / Camping / Exterior</x:v>
      </x:c>
      <x:c r="C125" s="21" t="str">
        <x:v>L9031</x:v>
      </x:c>
      <x:c r="D125" s="21" t="str">
        <x:v>TIJERA DE CERCO 24"</x:v>
      </x:c>
      <x:c r="E125" s="21" t="str">
        <x:v>Producto para jardín, camping y exterior. Recomendado para mantenimiento de espacios verdes, uso recreativo y tareas outdoor.</x:v>
      </x:c>
      <x:c r="F125" s="40" t="n">
        <x:v>24386.67</x:v>
      </x:c>
      <x:c r="G125" s="23" t="n">
        <x:f>IFERROR(VLOOKUP(B125,Configuracion!$A$9:$C$19,2,FALSE),Configuracion!$B$5)</x:f>
        <x:v>0.25</x:v>
      </x:c>
      <x:c r="H125" s="22" t="n">
        <x:f>ROUNDUP(F125*(1+G125)/Configuracion!$B$3,0)*Configuracion!$B$3</x:f>
        <x:v>30500</x:v>
      </x:c>
      <x:c r="I125" s="23" t="n">
        <x:f>IFERROR(VLOOKUP(B125,Configuracion!$A$9:$C$19,3,FALSE),Configuracion!$C$5)</x:f>
        <x:v>0.45</x:v>
      </x:c>
      <x:c r="J125" s="22" t="n">
        <x:f>ROUNDUP(F125*(1+I125)/Configuracion!$B$3,0)*Configuracion!$B$3</x:f>
        <x:v>35400</x:v>
      </x:c>
      <x:c r="K125" s="22" t="n">
        <x:f>ROUNDUP(J125*(1-Configuracion!$B$4)/Configuracion!$B$3,0)*Configuracion!$B$3</x:f>
        <x:v>33700</x:v>
      </x:c>
      <x:c r="L125" s="21" t="str"/>
      <x:c r="M125" s="21" t="str">
        <x:v>Unidad</x:v>
      </x:c>
      <x:c r="N125" s="21" t="str">
        <x:v>OK</x:v>
      </x:c>
      <x:c r="O125" s="21" t="n">
        <x:v>55</x:v>
      </x:c>
      <x:c r="P125" s="21" t="str">
        <x:v>Extraído del PDF.</x:v>
      </x:c>
      <x:c r="Q125" s="21" t="str">
        <x:v>L9031 TIJERA DE CERCO 24"</x:v>
      </x:c>
    </x:row>
    <x:row r="126">
      <x:c r="A126" s="21" t="n">
        <x:v>125</x:v>
      </x:c>
      <x:c r="B126" s="21" t="str">
        <x:v>Jardinería / Camping / Exterior</x:v>
      </x:c>
      <x:c r="C126" s="21" t="str">
        <x:v>L9051</x:v>
      </x:c>
      <x:c r="D126" s="21" t="str">
        <x:v>TIJERA PARA RAMAS 30"</x:v>
      </x:c>
      <x:c r="E126" s="21" t="str">
        <x:v>Producto para jardín, camping y exterior. Recomendado para mantenimiento de espacios verdes, uso recreativo y tareas outdoor.</x:v>
      </x:c>
      <x:c r="F126" s="40" t="n">
        <x:v>27870.48</x:v>
      </x:c>
      <x:c r="G126" s="23" t="n">
        <x:f>IFERROR(VLOOKUP(B126,Configuracion!$A$9:$C$19,2,FALSE),Configuracion!$B$5)</x:f>
        <x:v>0.25</x:v>
      </x:c>
      <x:c r="H126" s="22" t="n">
        <x:f>ROUNDUP(F126*(1+G126)/Configuracion!$B$3,0)*Configuracion!$B$3</x:f>
        <x:v>34900</x:v>
      </x:c>
      <x:c r="I126" s="23" t="n">
        <x:f>IFERROR(VLOOKUP(B126,Configuracion!$A$9:$C$19,3,FALSE),Configuracion!$C$5)</x:f>
        <x:v>0.45</x:v>
      </x:c>
      <x:c r="J126" s="22" t="n">
        <x:f>ROUNDUP(F126*(1+I126)/Configuracion!$B$3,0)*Configuracion!$B$3</x:f>
        <x:v>40500</x:v>
      </x:c>
      <x:c r="K126" s="22" t="n">
        <x:f>ROUNDUP(J126*(1-Configuracion!$B$4)/Configuracion!$B$3,0)*Configuracion!$B$3</x:f>
        <x:v>38500</x:v>
      </x:c>
      <x:c r="L126" s="21" t="str"/>
      <x:c r="M126" s="21" t="str">
        <x:v>Unidad</x:v>
      </x:c>
      <x:c r="N126" s="21" t="str">
        <x:v>Revisar OCR</x:v>
      </x:c>
      <x:c r="O126" s="21" t="n">
        <x:v>55</x:v>
      </x:c>
      <x:c r="P126" s="21" t="str">
        <x:v>Extraído por OCR del PDF; revisar imagen si el código o texto aparece con dudas.</x:v>
      </x:c>
      <x:c r="Q126" s="21" t="str">
        <x:v>L9051 TIJERA PARA RAMAS 30"</x:v>
      </x:c>
    </x:row>
    <x:row r="127">
      <x:c r="A127" s="21" t="n">
        <x:v>126</x:v>
      </x:c>
      <x:c r="B127" s="21" t="str">
        <x:v>Jardinería / Camping / Exterior</x:v>
      </x:c>
      <x:c r="C127" s="21" t="str">
        <x:v>L9071</x:v>
      </x:c>
      <x:c r="D127" s="21" t="str">
        <x:v>HACHA DE MANO 680 GRS X6</x:v>
      </x:c>
      <x:c r="E127" s="21" t="str">
        <x:v>Producto para jardín, camping y exterior. Recomendado para mantenimiento de espacios verdes, uso recreativo y tareas outdoor.</x:v>
      </x:c>
      <x:c r="F127" s="40" t="n">
        <x:v>10799.81</x:v>
      </x:c>
      <x:c r="G127" s="23" t="n">
        <x:f>IFERROR(VLOOKUP(B127,Configuracion!$A$9:$C$19,2,FALSE),Configuracion!$B$5)</x:f>
        <x:v>0.25</x:v>
      </x:c>
      <x:c r="H127" s="22" t="n">
        <x:f>ROUNDUP(F127*(1+G127)/Configuracion!$B$3,0)*Configuracion!$B$3</x:f>
        <x:v>13500</x:v>
      </x:c>
      <x:c r="I127" s="23" t="n">
        <x:f>IFERROR(VLOOKUP(B127,Configuracion!$A$9:$C$19,3,FALSE),Configuracion!$C$5)</x:f>
        <x:v>0.45</x:v>
      </x:c>
      <x:c r="J127" s="22" t="n">
        <x:f>ROUNDUP(F127*(1+I127)/Configuracion!$B$3,0)*Configuracion!$B$3</x:f>
        <x:v>15700</x:v>
      </x:c>
      <x:c r="K127" s="22" t="n">
        <x:f>ROUNDUP(J127*(1-Configuracion!$B$4)/Configuracion!$B$3,0)*Configuracion!$B$3</x:f>
        <x:v>15000</x:v>
      </x:c>
      <x:c r="L127" s="21" t="str"/>
      <x:c r="M127" s="21" t="str">
        <x:v>Unidad</x:v>
      </x:c>
      <x:c r="N127" s="21" t="str">
        <x:v>OK</x:v>
      </x:c>
      <x:c r="O127" s="21" t="n">
        <x:v>56</x:v>
      </x:c>
      <x:c r="P127" s="21" t="str">
        <x:v>Extraído del PDF.</x:v>
      </x:c>
      <x:c r="Q127" s="21" t="str">
        <x:v>L9071 HACHA DE MANO 680 GRS X6</x:v>
      </x:c>
    </x:row>
    <x:row r="128">
      <x:c r="A128" s="21" t="n">
        <x:v>127</x:v>
      </x:c>
      <x:c r="B128" s="21" t="str">
        <x:v>Jardinería / Camping / Exterior</x:v>
      </x:c>
      <x:c r="C128" s="21" t="str">
        <x:v>MATLB3E-9</x:v>
      </x:c>
      <x:c r="D128" s="21" t="str">
        <x:v>MATE 300ML BLANCO 3 ESTRELLAS</x:v>
      </x:c>
      <x:c r="E128" s="21" t="str">
        <x:v>Producto para jardín, camping y exterior. Recomendado para mantenimiento de espacios verdes, uso recreativo y tareas outdoor.</x:v>
      </x:c>
      <x:c r="F128" s="40" t="n">
        <x:v>16066.09</x:v>
      </x:c>
      <x:c r="G128" s="23" t="n">
        <x:f>IFERROR(VLOOKUP(B128,Configuracion!$A$9:$C$19,2,FALSE),Configuracion!$B$5)</x:f>
        <x:v>0.25</x:v>
      </x:c>
      <x:c r="H128" s="22" t="n">
        <x:f>ROUNDUP(F128*(1+G128)/Configuracion!$B$3,0)*Configuracion!$B$3</x:f>
        <x:v>20100</x:v>
      </x:c>
      <x:c r="I128" s="23" t="n">
        <x:f>IFERROR(VLOOKUP(B128,Configuracion!$A$9:$C$19,3,FALSE),Configuracion!$C$5)</x:f>
        <x:v>0.45</x:v>
      </x:c>
      <x:c r="J128" s="22" t="n">
        <x:f>ROUNDUP(F128*(1+I128)/Configuracion!$B$3,0)*Configuracion!$B$3</x:f>
        <x:v>23300</x:v>
      </x:c>
      <x:c r="K128" s="22" t="n">
        <x:f>ROUNDUP(J128*(1-Configuracion!$B$4)/Configuracion!$B$3,0)*Configuracion!$B$3</x:f>
        <x:v>22200</x:v>
      </x:c>
      <x:c r="L128" s="21" t="str"/>
      <x:c r="M128" s="21" t="str">
        <x:v>Unidad</x:v>
      </x:c>
      <x:c r="N128" s="21" t="str">
        <x:v>OK</x:v>
      </x:c>
      <x:c r="O128" s="21" t="n">
        <x:v>56</x:v>
      </x:c>
      <x:c r="P128" s="21" t="str">
        <x:v>Extraído del PDF.</x:v>
      </x:c>
      <x:c r="Q128" s="21" t="str">
        <x:v>MATLB3E-9 - MATE 300ML BLANCO 3 ESTRELLAS</x:v>
      </x:c>
    </x:row>
    <x:row r="129">
      <x:c r="A129" s="21" t="n">
        <x:v>128</x:v>
      </x:c>
      <x:c r="B129" s="21" t="str">
        <x:v>Jardinería / Camping / Exterior</x:v>
      </x:c>
      <x:c r="C129" s="21" t="str">
        <x:v>MATLC-9</x:v>
      </x:c>
      <x:c r="D129" s="21" t="str">
        <x:v>MATE 300ML CAMUFLADO</x:v>
      </x:c>
      <x:c r="E129" s="21" t="str">
        <x:v>Producto para jardín, camping y exterior. Recomendado para mantenimiento de espacios verdes, uso recreativo y tareas outdoor.</x:v>
      </x:c>
      <x:c r="F129" s="40" t="n">
        <x:v>16066.09</x:v>
      </x:c>
      <x:c r="G129" s="23" t="n">
        <x:f>IFERROR(VLOOKUP(B129,Configuracion!$A$9:$C$19,2,FALSE),Configuracion!$B$5)</x:f>
        <x:v>0.25</x:v>
      </x:c>
      <x:c r="H129" s="22" t="n">
        <x:f>ROUNDUP(F129*(1+G129)/Configuracion!$B$3,0)*Configuracion!$B$3</x:f>
        <x:v>20100</x:v>
      </x:c>
      <x:c r="I129" s="23" t="n">
        <x:f>IFERROR(VLOOKUP(B129,Configuracion!$A$9:$C$19,3,FALSE),Configuracion!$C$5)</x:f>
        <x:v>0.45</x:v>
      </x:c>
      <x:c r="J129" s="22" t="n">
        <x:f>ROUNDUP(F129*(1+I129)/Configuracion!$B$3,0)*Configuracion!$B$3</x:f>
        <x:v>23300</x:v>
      </x:c>
      <x:c r="K129" s="22" t="n">
        <x:f>ROUNDUP(J129*(1-Configuracion!$B$4)/Configuracion!$B$3,0)*Configuracion!$B$3</x:f>
        <x:v>22200</x:v>
      </x:c>
      <x:c r="L129" s="21" t="str"/>
      <x:c r="M129" s="21" t="str">
        <x:v>Unidad</x:v>
      </x:c>
      <x:c r="N129" s="21" t="str">
        <x:v>OK</x:v>
      </x:c>
      <x:c r="O129" s="21" t="n">
        <x:v>56</x:v>
      </x:c>
      <x:c r="P129" s="21" t="str">
        <x:v>Extraído del PDF.</x:v>
      </x:c>
      <x:c r="Q129" s="21" t="str">
        <x:v>MATLC-9 - MATE 300ML CAMUFLADO</x:v>
      </x:c>
    </x:row>
    <x:row r="130">
      <x:c r="A130" s="21" t="n">
        <x:v>129</x:v>
      </x:c>
      <x:c r="B130" s="21" t="str">
        <x:v>Jardinería / Camping / Exterior</x:v>
      </x:c>
      <x:c r="C130" s="21" t="str">
        <x:v>MATLR-9</x:v>
      </x:c>
      <x:c r="D130" s="21" t="str">
        <x:v>MATE 300ML COLOR ROSA</x:v>
      </x:c>
      <x:c r="E130" s="21" t="str">
        <x:v>Producto para jardín, camping y exterior. Recomendado para mantenimiento de espacios verdes, uso recreativo y tareas outdoor.</x:v>
      </x:c>
      <x:c r="F130" s="40" t="n">
        <x:v>6967.62</x:v>
      </x:c>
      <x:c r="G130" s="23" t="n">
        <x:f>IFERROR(VLOOKUP(B130,Configuracion!$A$9:$C$19,2,FALSE),Configuracion!$B$5)</x:f>
        <x:v>0.25</x:v>
      </x:c>
      <x:c r="H130" s="22" t="n">
        <x:f>ROUNDUP(F130*(1+G130)/Configuracion!$B$3,0)*Configuracion!$B$3</x:f>
        <x:v>8800</x:v>
      </x:c>
      <x:c r="I130" s="23" t="n">
        <x:f>IFERROR(VLOOKUP(B130,Configuracion!$A$9:$C$19,3,FALSE),Configuracion!$C$5)</x:f>
        <x:v>0.45</x:v>
      </x:c>
      <x:c r="J130" s="22" t="n">
        <x:f>ROUNDUP(F130*(1+I130)/Configuracion!$B$3,0)*Configuracion!$B$3</x:f>
        <x:v>10200</x:v>
      </x:c>
      <x:c r="K130" s="22" t="n">
        <x:f>ROUNDUP(J130*(1-Configuracion!$B$4)/Configuracion!$B$3,0)*Configuracion!$B$3</x:f>
        <x:v>9700</x:v>
      </x:c>
      <x:c r="L130" s="21" t="str"/>
      <x:c r="M130" s="21" t="str">
        <x:v>Unidad</x:v>
      </x:c>
      <x:c r="N130" s="21" t="str">
        <x:v>Revisar OCR</x:v>
      </x:c>
      <x:c r="O130" s="21" t="n">
        <x:v>57</x:v>
      </x:c>
      <x:c r="P130" s="21" t="str">
        <x:v>Extraído por OCR del PDF; revisar imagen si el código o texto aparece con dudas.</x:v>
      </x:c>
      <x:c r="Q130" s="21" t="str">
        <x:v>MATLR-9 MATE 300ML COLOR ROSA</x:v>
      </x:c>
    </x:row>
    <x:row r="131">
      <x:c r="A131" s="21" t="n">
        <x:v>130</x:v>
      </x:c>
      <x:c r="B131" s="21" t="str">
        <x:v>Jardinería / Camping / Exterior</x:v>
      </x:c>
      <x:c r="C131" s="21" t="str">
        <x:v>TL1-9R</x:v>
      </x:c>
      <x:c r="D131" s="21" t="str">
        <x:v>TERMO 1 LITRO ROSA</x:v>
      </x:c>
      <x:c r="E131" s="21" t="str">
        <x:v>Producto para jardín, camping y exterior. Recomendado para mantenimiento de espacios verdes, uso recreativo y tareas outdoor.</x:v>
      </x:c>
      <x:c r="F131" s="40" t="n">
        <x:v>27870.48</x:v>
      </x:c>
      <x:c r="G131" s="23" t="n">
        <x:f>IFERROR(VLOOKUP(B131,Configuracion!$A$9:$C$19,2,FALSE),Configuracion!$B$5)</x:f>
        <x:v>0.25</x:v>
      </x:c>
      <x:c r="H131" s="22" t="n">
        <x:f>ROUNDUP(F131*(1+G131)/Configuracion!$B$3,0)*Configuracion!$B$3</x:f>
        <x:v>34900</x:v>
      </x:c>
      <x:c r="I131" s="23" t="n">
        <x:f>IFERROR(VLOOKUP(B131,Configuracion!$A$9:$C$19,3,FALSE),Configuracion!$C$5)</x:f>
        <x:v>0.45</x:v>
      </x:c>
      <x:c r="J131" s="22" t="n">
        <x:f>ROUNDUP(F131*(1+I131)/Configuracion!$B$3,0)*Configuracion!$B$3</x:f>
        <x:v>40500</x:v>
      </x:c>
      <x:c r="K131" s="22" t="n">
        <x:f>ROUNDUP(J131*(1-Configuracion!$B$4)/Configuracion!$B$3,0)*Configuracion!$B$3</x:f>
        <x:v>38500</x:v>
      </x:c>
      <x:c r="L131" s="21" t="str"/>
      <x:c r="M131" s="21" t="str">
        <x:v>Unidad</x:v>
      </x:c>
      <x:c r="N131" s="21" t="str">
        <x:v>OK</x:v>
      </x:c>
      <x:c r="O131" s="21" t="n">
        <x:v>57</x:v>
      </x:c>
      <x:c r="P131" s="21" t="str">
        <x:v>Extraído del PDF.</x:v>
      </x:c>
      <x:c r="Q131" s="21" t="str">
        <x:v>TL1-9R TERMO 1 LITRO ROSA</x:v>
      </x:c>
    </x:row>
    <x:row r="132">
      <x:c r="A132" s="21" t="n">
        <x:v>131</x:v>
      </x:c>
      <x:c r="B132" s="21" t="str">
        <x:v>Jardinería / Camping / Exterior</x:v>
      </x:c>
      <x:c r="C132" s="21" t="str">
        <x:v>TLI-9B</x:v>
      </x:c>
      <x:c r="D132" s="21" t="str">
        <x:v>TERMO INOX. 1 COLOR BLANCO</x:v>
      </x:c>
      <x:c r="E132" s="21" t="str">
        <x:v>Producto para jardín, camping y exterior. Recomendado para mantenimiento de espacios verdes, uso recreativo y tareas outdoor.</x:v>
      </x:c>
      <x:c r="F132" s="40" t="n">
        <x:v>27870.48</x:v>
      </x:c>
      <x:c r="G132" s="23" t="n">
        <x:f>IFERROR(VLOOKUP(B132,Configuracion!$A$9:$C$19,2,FALSE),Configuracion!$B$5)</x:f>
        <x:v>0.25</x:v>
      </x:c>
      <x:c r="H132" s="22" t="n">
        <x:f>ROUNDUP(F132*(1+G132)/Configuracion!$B$3,0)*Configuracion!$B$3</x:f>
        <x:v>34900</x:v>
      </x:c>
      <x:c r="I132" s="23" t="n">
        <x:f>IFERROR(VLOOKUP(B132,Configuracion!$A$9:$C$19,3,FALSE),Configuracion!$C$5)</x:f>
        <x:v>0.45</x:v>
      </x:c>
      <x:c r="J132" s="22" t="n">
        <x:f>ROUNDUP(F132*(1+I132)/Configuracion!$B$3,0)*Configuracion!$B$3</x:f>
        <x:v>40500</x:v>
      </x:c>
      <x:c r="K132" s="22" t="n">
        <x:f>ROUNDUP(J132*(1-Configuracion!$B$4)/Configuracion!$B$3,0)*Configuracion!$B$3</x:f>
        <x:v>38500</x:v>
      </x:c>
      <x:c r="L132" s="21" t="str"/>
      <x:c r="M132" s="21" t="str">
        <x:v>Unidad</x:v>
      </x:c>
      <x:c r="N132" s="21" t="str">
        <x:v>OK</x:v>
      </x:c>
      <x:c r="O132" s="21" t="n">
        <x:v>57</x:v>
      </x:c>
      <x:c r="P132" s="21" t="str">
        <x:v>Extraído del PDF.</x:v>
      </x:c>
      <x:c r="Q132" s="21" t="str">
        <x:v>TLI-9B TERMO INOX. 1 COLOR BLANCO</x:v>
      </x:c>
    </x:row>
    <x:row r="133">
      <x:c r="A133" s="21" t="n">
        <x:v>132</x:v>
      </x:c>
      <x:c r="B133" s="21" t="str">
        <x:v>Jardinería / Camping / Exterior</x:v>
      </x:c>
      <x:c r="C133" s="21" t="str">
        <x:v>TTL420-88</x:v>
      </x:c>
      <x:c r="D133" s="21" t="str">
        <x:v>TAZA TERMICA BLANCA 420 ML CON TAPA</x:v>
      </x:c>
      <x:c r="E133" s="21" t="str">
        <x:v>Producto Lusqtoff para uso profesional, taller, hogar o mantenimiento. Consultar disponibilidad y garantía oficial.</x:v>
      </x:c>
      <x:c r="F133" s="40" t="n">
        <x:v>14256</x:v>
      </x:c>
      <x:c r="G133" s="23" t="n">
        <x:f>IFERROR(VLOOKUP(B133,Configuracion!$A$9:$C$19,2,FALSE),Configuracion!$B$5)</x:f>
        <x:v>0.25</x:v>
      </x:c>
      <x:c r="H133" s="22" t="n">
        <x:f>ROUNDUP(F133*(1+G133)/Configuracion!$B$3,0)*Configuracion!$B$3</x:f>
        <x:v>17900</x:v>
      </x:c>
      <x:c r="I133" s="23" t="n">
        <x:f>IFERROR(VLOOKUP(B133,Configuracion!$A$9:$C$19,3,FALSE),Configuracion!$C$5)</x:f>
        <x:v>0.45</x:v>
      </x:c>
      <x:c r="J133" s="22" t="n">
        <x:f>ROUNDUP(F133*(1+I133)/Configuracion!$B$3,0)*Configuracion!$B$3</x:f>
        <x:v>20700</x:v>
      </x:c>
      <x:c r="K133" s="22" t="n">
        <x:f>ROUNDUP(J133*(1-Configuracion!$B$4)/Configuracion!$B$3,0)*Configuracion!$B$3</x:f>
        <x:v>19700</x:v>
      </x:c>
      <x:c r="L133" s="21" t="str"/>
      <x:c r="M133" s="21" t="str">
        <x:v>Unidad</x:v>
      </x:c>
      <x:c r="N133" s="21" t="str">
        <x:v>OK</x:v>
      </x:c>
      <x:c r="O133" s="21" t="n">
        <x:v>58</x:v>
      </x:c>
      <x:c r="P133" s="21" t="str">
        <x:v>Extraído del PDF.</x:v>
      </x:c>
      <x:c r="Q133" s="21" t="str">
        <x:v>TTL420-88 TAZA TERMICA BLANCA 420 ML CON TAPA</x:v>
      </x:c>
    </x:row>
    <x:row r="134">
      <x:c r="A134" s="21" t="n">
        <x:v>133</x:v>
      </x:c>
      <x:c r="B134" s="21" t="str">
        <x:v>Jardinería / Camping / Exterior</x:v>
      </x:c>
      <x:c r="C134" s="21" t="str">
        <x:v>TTL420-8N</x:v>
      </x:c>
      <x:c r="D134" s="21" t="str">
        <x:v>TAZA TERMICA NEGRO 420 ML CON TAPA</x:v>
      </x:c>
      <x:c r="E134" s="21" t="str">
        <x:v>Producto Lusqtoff para uso profesional, taller, hogar o mantenimiento. Consultar disponibilidad y garantía oficial.</x:v>
      </x:c>
      <x:c r="F134" s="40" t="n">
        <x:v>14256</x:v>
      </x:c>
      <x:c r="G134" s="23" t="n">
        <x:f>IFERROR(VLOOKUP(B134,Configuracion!$A$9:$C$19,2,FALSE),Configuracion!$B$5)</x:f>
        <x:v>0.25</x:v>
      </x:c>
      <x:c r="H134" s="22" t="n">
        <x:f>ROUNDUP(F134*(1+G134)/Configuracion!$B$3,0)*Configuracion!$B$3</x:f>
        <x:v>17900</x:v>
      </x:c>
      <x:c r="I134" s="23" t="n">
        <x:f>IFERROR(VLOOKUP(B134,Configuracion!$A$9:$C$19,3,FALSE),Configuracion!$C$5)</x:f>
        <x:v>0.45</x:v>
      </x:c>
      <x:c r="J134" s="22" t="n">
        <x:f>ROUNDUP(F134*(1+I134)/Configuracion!$B$3,0)*Configuracion!$B$3</x:f>
        <x:v>20700</x:v>
      </x:c>
      <x:c r="K134" s="22" t="n">
        <x:f>ROUNDUP(J134*(1-Configuracion!$B$4)/Configuracion!$B$3,0)*Configuracion!$B$3</x:f>
        <x:v>19700</x:v>
      </x:c>
      <x:c r="L134" s="21" t="str"/>
      <x:c r="M134" s="21" t="str">
        <x:v>Unidad</x:v>
      </x:c>
      <x:c r="N134" s="21" t="str">
        <x:v>Revisar OCR</x:v>
      </x:c>
      <x:c r="O134" s="21" t="n">
        <x:v>58</x:v>
      </x:c>
      <x:c r="P134" s="21" t="str">
        <x:v>Extraído por OCR del PDF; revisar imagen si el código o texto aparece con dudas.</x:v>
      </x:c>
      <x:c r="Q134" s="21" t="str">
        <x:v>TTL420-8N TAZA TERMICA NEGRO 420 ML CON TAPA</x:v>
      </x:c>
    </x:row>
    <x:row r="135">
      <x:c r="A135" s="21" t="n">
        <x:v>134</x:v>
      </x:c>
      <x:c r="B135" s="21" t="str">
        <x:v>Jardinería / Camping / Exterior</x:v>
      </x:c>
      <x:c r="C135" s="21" t="str">
        <x:v>TLI-9NJ</x:v>
      </x:c>
      <x:c r="D135" s="21" t="str">
        <x:v>TERMO NARANJA 1LTS</x:v>
      </x:c>
      <x:c r="E135" s="21" t="str">
        <x:v>Producto para jardín, camping y exterior. Recomendado para mantenimiento de espacios verdes, uso recreativo y tareas outdoor.</x:v>
      </x:c>
      <x:c r="F135" s="40" t="n">
        <x:v>27870.48</x:v>
      </x:c>
      <x:c r="G135" s="23" t="n">
        <x:f>IFERROR(VLOOKUP(B135,Configuracion!$A$9:$C$19,2,FALSE),Configuracion!$B$5)</x:f>
        <x:v>0.25</x:v>
      </x:c>
      <x:c r="H135" s="22" t="n">
        <x:f>ROUNDUP(F135*(1+G135)/Configuracion!$B$3,0)*Configuracion!$B$3</x:f>
        <x:v>34900</x:v>
      </x:c>
      <x:c r="I135" s="23" t="n">
        <x:f>IFERROR(VLOOKUP(B135,Configuracion!$A$9:$C$19,3,FALSE),Configuracion!$C$5)</x:f>
        <x:v>0.45</x:v>
      </x:c>
      <x:c r="J135" s="22" t="n">
        <x:f>ROUNDUP(F135*(1+I135)/Configuracion!$B$3,0)*Configuracion!$B$3</x:f>
        <x:v>40500</x:v>
      </x:c>
      <x:c r="K135" s="22" t="n">
        <x:f>ROUNDUP(J135*(1-Configuracion!$B$4)/Configuracion!$B$3,0)*Configuracion!$B$3</x:f>
        <x:v>38500</x:v>
      </x:c>
      <x:c r="L135" s="21" t="str"/>
      <x:c r="M135" s="21" t="str">
        <x:v>Unidad</x:v>
      </x:c>
      <x:c r="N135" s="21" t="str">
        <x:v>OK</x:v>
      </x:c>
      <x:c r="O135" s="21" t="n">
        <x:v>58</x:v>
      </x:c>
      <x:c r="P135" s="21" t="str">
        <x:v>Extraído del PDF.</x:v>
      </x:c>
      <x:c r="Q135" s="21" t="str">
        <x:v>TLI-9NJ TERMO NARANJA 1LTS</x:v>
      </x:c>
    </x:row>
    <x:row r="136">
      <x:c r="A136" s="21" t="n">
        <x:v>135</x:v>
      </x:c>
      <x:c r="B136" s="21" t="str">
        <x:v>Accesorios / Consumibles</x:v>
      </x:c>
      <x:c r="C136" s="21" t="str"/>
      <x:c r="D136" s="21" t="str">
        <x:v>Aceite lubricante ACLUD1000 X unidad</x:v>
      </x:c>
      <x:c r="E136" s="21" t="str">
        <x:v>Consumible o accesorio complementario para reposición, mantenimiento y venta por rotación.</x:v>
      </x:c>
      <x:c r="F136" s="40" t="n">
        <x:v>11148.19</x:v>
      </x:c>
      <x:c r="G136" s="23" t="n">
        <x:f>IFERROR(VLOOKUP(B136,Configuracion!$A$9:$C$19,2,FALSE),Configuracion!$B$5)</x:f>
        <x:v>0.35</x:v>
      </x:c>
      <x:c r="H136" s="22" t="n">
        <x:f>ROUNDUP(F136*(1+G136)/Configuracion!$B$3,0)*Configuracion!$B$3</x:f>
        <x:v>15100</x:v>
      </x:c>
      <x:c r="I136" s="23" t="n">
        <x:f>IFERROR(VLOOKUP(B136,Configuracion!$A$9:$C$19,3,FALSE),Configuracion!$C$5)</x:f>
        <x:v>0.6</x:v>
      </x:c>
      <x:c r="J136" s="22" t="n">
        <x:f>ROUNDUP(F136*(1+I136)/Configuracion!$B$3,0)*Configuracion!$B$3</x:f>
        <x:v>17900</x:v>
      </x:c>
      <x:c r="K136" s="22" t="n">
        <x:f>ROUNDUP(J136*(1-Configuracion!$B$4)/Configuracion!$B$3,0)*Configuracion!$B$3</x:f>
        <x:v>17100</x:v>
      </x:c>
      <x:c r="L136" s="21" t="str"/>
      <x:c r="M136" s="21" t="str">
        <x:v>Unidad</x:v>
      </x:c>
      <x:c r="N136" s="21" t="str">
        <x:v>OK</x:v>
      </x:c>
      <x:c r="O136" s="21" t="n">
        <x:v>59</x:v>
      </x:c>
      <x:c r="P136" s="21" t="str">
        <x:v>Extraído del PDF.</x:v>
      </x:c>
      <x:c r="Q136" s="21" t="str">
        <x:v>Aceite lubricante ACLUD1000 X unidad</x:v>
      </x:c>
    </x:row>
    <x:row r="137">
      <x:c r="A137" s="21" t="n">
        <x:v>136</x:v>
      </x:c>
      <x:c r="B137" s="21" t="str">
        <x:v>Accesorios / Consumibles</x:v>
      </x:c>
      <x:c r="C137" s="21" t="str">
        <x:v>ACL40</x:v>
      </x:c>
      <x:c r="D137" s="21" t="str">
        <x:v>LUBRICANTE MULTIPROPOSITO AEROSOL 415CC</x:v>
      </x:c>
      <x:c r="E137" s="21" t="str">
        <x:v>Consumible o accesorio complementario para reposición, mantenimiento y venta por rotación.</x:v>
      </x:c>
      <x:c r="F137" s="40" t="n">
        <x:v>4399.3</x:v>
      </x:c>
      <x:c r="G137" s="23" t="n">
        <x:f>IFERROR(VLOOKUP(B137,Configuracion!$A$9:$C$19,2,FALSE),Configuracion!$B$5)</x:f>
        <x:v>0.35</x:v>
      </x:c>
      <x:c r="H137" s="22" t="n">
        <x:f>ROUNDUP(F137*(1+G137)/Configuracion!$B$3,0)*Configuracion!$B$3</x:f>
        <x:v>6000</x:v>
      </x:c>
      <x:c r="I137" s="23" t="n">
        <x:f>IFERROR(VLOOKUP(B137,Configuracion!$A$9:$C$19,3,FALSE),Configuracion!$C$5)</x:f>
        <x:v>0.6</x:v>
      </x:c>
      <x:c r="J137" s="22" t="n">
        <x:f>ROUNDUP(F137*(1+I137)/Configuracion!$B$3,0)*Configuracion!$B$3</x:f>
        <x:v>7100</x:v>
      </x:c>
      <x:c r="K137" s="22" t="n">
        <x:f>ROUNDUP(J137*(1-Configuracion!$B$4)/Configuracion!$B$3,0)*Configuracion!$B$3</x:f>
        <x:v>6800</x:v>
      </x:c>
      <x:c r="L137" s="21" t="str"/>
      <x:c r="M137" s="21" t="str">
        <x:v>Unidad</x:v>
      </x:c>
      <x:c r="N137" s="21" t="str">
        <x:v>OK</x:v>
      </x:c>
      <x:c r="O137" s="21" t="n">
        <x:v>59</x:v>
      </x:c>
      <x:c r="P137" s="21" t="str">
        <x:v>Extraído del PDF.</x:v>
      </x:c>
      <x:c r="Q137" s="21" t="str">
        <x:v>ACL40 LUBRICANTE MULTIPROPOSITO AEROSOL 415CC</x:v>
      </x:c>
    </x:row>
    <x:row r="138">
      <x:c r="A138" s="21" t="n">
        <x:v>137</x:v>
      </x:c>
      <x:c r="B138" s="21" t="str">
        <x:v>Accesorios / Consumibles</x:v>
      </x:c>
      <x:c r="C138" s="21" t="str">
        <x:v>DAL1151610</x:v>
      </x:c>
      <x:c r="D138" s="21" t="str">
        <x:v>DISCOS ABRASIVO DE CORTE LATA X10 115*1,6</x:v>
      </x:c>
      <x:c r="E138" s="21" t="str">
        <x:v>Producto orientado a corte, desbaste y terminación. Recomendado para metal, obra y mantenimiento general.</x:v>
      </x:c>
      <x:c r="F138" s="40" t="n">
        <x:v>5598.33</x:v>
      </x:c>
      <x:c r="G138" s="23" t="n">
        <x:f>IFERROR(VLOOKUP(B138,Configuracion!$A$9:$C$19,2,FALSE),Configuracion!$B$5)</x:f>
        <x:v>0.35</x:v>
      </x:c>
      <x:c r="H138" s="22" t="n">
        <x:f>ROUNDUP(F138*(1+G138)/Configuracion!$B$3,0)*Configuracion!$B$3</x:f>
        <x:v>7600</x:v>
      </x:c>
      <x:c r="I138" s="23" t="n">
        <x:f>IFERROR(VLOOKUP(B138,Configuracion!$A$9:$C$19,3,FALSE),Configuracion!$C$5)</x:f>
        <x:v>0.6</x:v>
      </x:c>
      <x:c r="J138" s="22" t="n">
        <x:f>ROUNDUP(F138*(1+I138)/Configuracion!$B$3,0)*Configuracion!$B$3</x:f>
        <x:v>9000</x:v>
      </x:c>
      <x:c r="K138" s="22" t="n">
        <x:f>ROUNDUP(J138*(1-Configuracion!$B$4)/Configuracion!$B$3,0)*Configuracion!$B$3</x:f>
        <x:v>8600</x:v>
      </x:c>
      <x:c r="L138" s="21" t="str"/>
      <x:c r="M138" s="21" t="str">
        <x:v>Unidad</x:v>
      </x:c>
      <x:c r="N138" s="21" t="str">
        <x:v>Revisar OCR</x:v>
      </x:c>
      <x:c r="O138" s="21" t="n">
        <x:v>60</x:v>
      </x:c>
      <x:c r="P138" s="21" t="str">
        <x:v>Extraído por OCR del PDF; revisar imagen si el código o texto aparece con dudas.</x:v>
      </x:c>
      <x:c r="Q138" s="21" t="str">
        <x:v>DAL1151610 // DISCOS ABRASIVO DE CORTE LATA X10 115*1,6</x:v>
      </x:c>
    </x:row>
    <x:row r="139">
      <x:c r="A139" s="21" t="n">
        <x:v>138</x:v>
      </x:c>
      <x:c r="B139" s="21" t="str">
        <x:v>Accesorios / Consumibles</x:v>
      </x:c>
      <x:c r="C139" s="21" t="str">
        <x:v>DAL1151250</x:v>
      </x:c>
      <x:c r="D139" s="21" t="str">
        <x:v>DISCOS ABRASIVO DE CORTE LATA X50 115*1,2</x:v>
      </x:c>
      <x:c r="E139" s="21" t="str">
        <x:v>Producto orientado a corte, desbaste y terminación. Recomendado para metal, obra y mantenimiento general.</x:v>
      </x:c>
      <x:c r="F139" s="40" t="n">
        <x:v>24536.59</x:v>
      </x:c>
      <x:c r="G139" s="23" t="n">
        <x:f>IFERROR(VLOOKUP(B139,Configuracion!$A$9:$C$19,2,FALSE),Configuracion!$B$5)</x:f>
        <x:v>0.35</x:v>
      </x:c>
      <x:c r="H139" s="22" t="n">
        <x:f>ROUNDUP(F139*(1+G139)/Configuracion!$B$3,0)*Configuracion!$B$3</x:f>
        <x:v>33200</x:v>
      </x:c>
      <x:c r="I139" s="23" t="n">
        <x:f>IFERROR(VLOOKUP(B139,Configuracion!$A$9:$C$19,3,FALSE),Configuracion!$C$5)</x:f>
        <x:v>0.6</x:v>
      </x:c>
      <x:c r="J139" s="22" t="n">
        <x:f>ROUNDUP(F139*(1+I139)/Configuracion!$B$3,0)*Configuracion!$B$3</x:f>
        <x:v>39300</x:v>
      </x:c>
      <x:c r="K139" s="22" t="n">
        <x:f>ROUNDUP(J139*(1-Configuracion!$B$4)/Configuracion!$B$3,0)*Configuracion!$B$3</x:f>
        <x:v>37400</x:v>
      </x:c>
      <x:c r="L139" s="21" t="str"/>
      <x:c r="M139" s="21" t="str">
        <x:v>Unidad</x:v>
      </x:c>
      <x:c r="N139" s="21" t="str">
        <x:v>Revisar OCR</x:v>
      </x:c>
      <x:c r="O139" s="21" t="n">
        <x:v>60</x:v>
      </x:c>
      <x:c r="P139" s="21" t="str">
        <x:v>Extraído por OCR del PDF; revisar imagen si el código o texto aparece con dudas.</x:v>
      </x:c>
      <x:c r="Q139" s="21" t="str">
        <x:v>DAL1151250 // DISCOS ABRASIVO DE CORTE LATA X50 115*1,2</x:v>
      </x:c>
    </x:row>
    <x:row r="140">
      <x:c r="A140" s="21" t="n">
        <x:v>139</x:v>
      </x:c>
      <x:c r="B140" s="21" t="str">
        <x:v>Accesorios / Consumibles</x:v>
      </x:c>
      <x:c r="C140" s="21" t="str">
        <x:v>COR100-9</x:v>
      </x:c>
      <x:c r="D140" s="21" t="str">
        <x:v>cepillo copa risado 100mm.</x:v>
      </x:c>
      <x:c r="E140" s="21" t="str">
        <x:v>Producto Lusqtoff para uso profesional, taller, hogar o mantenimiento. Consultar disponibilidad y garantía oficial.</x:v>
      </x:c>
      <x:c r="F140" s="40" t="n">
        <x:v>4763.01</x:v>
      </x:c>
      <x:c r="G140" s="23" t="n">
        <x:f>IFERROR(VLOOKUP(B140,Configuracion!$A$9:$C$19,2,FALSE),Configuracion!$B$5)</x:f>
        <x:v>0.35</x:v>
      </x:c>
      <x:c r="H140" s="22" t="n">
        <x:f>ROUNDUP(F140*(1+G140)/Configuracion!$B$3,0)*Configuracion!$B$3</x:f>
        <x:v>6500</x:v>
      </x:c>
      <x:c r="I140" s="23" t="n">
        <x:f>IFERROR(VLOOKUP(B140,Configuracion!$A$9:$C$19,3,FALSE),Configuracion!$C$5)</x:f>
        <x:v>0.6</x:v>
      </x:c>
      <x:c r="J140" s="22" t="n">
        <x:f>ROUNDUP(F140*(1+I140)/Configuracion!$B$3,0)*Configuracion!$B$3</x:f>
        <x:v>7700</x:v>
      </x:c>
      <x:c r="K140" s="22" t="n">
        <x:f>ROUNDUP(J140*(1-Configuracion!$B$4)/Configuracion!$B$3,0)*Configuracion!$B$3</x:f>
        <x:v>7400</x:v>
      </x:c>
      <x:c r="L140" s="21" t="str"/>
      <x:c r="M140" s="21" t="str">
        <x:v>Unidad</x:v>
      </x:c>
      <x:c r="N140" s="21" t="str">
        <x:v>OK</x:v>
      </x:c>
      <x:c r="O140" s="21" t="n">
        <x:v>60</x:v>
      </x:c>
      <x:c r="P140" s="21" t="str">
        <x:v>Extraído del PDF.</x:v>
      </x:c>
      <x:c r="Q140" s="21" t="str">
        <x:v>Cor100-9 cepillo copa risado 100mm.</x:v>
      </x:c>
    </x:row>
    <x:row r="141">
      <x:c r="A141" s="21" t="n">
        <x:v>140</x:v>
      </x:c>
      <x:c r="B141" s="21" t="str">
        <x:v>Accesorios / Consumibles</x:v>
      </x:c>
      <x:c r="C141" s="21" t="str">
        <x:v>DAL1151650</x:v>
      </x:c>
      <x:c r="D141" s="21" t="str">
        <x:v>DISCOS ABRASIVO DE CORTE LATA X50 115*1,6</x:v>
      </x:c>
      <x:c r="E141" s="21" t="str">
        <x:v>Producto orientado a corte, desbaste y terminación. Recomendado para metal, obra y mantenimiento general.</x:v>
      </x:c>
      <x:c r="F141" s="40" t="n">
        <x:v>23967.59</x:v>
      </x:c>
      <x:c r="G141" s="23" t="n">
        <x:f>IFERROR(VLOOKUP(B141,Configuracion!$A$9:$C$19,2,FALSE),Configuracion!$B$5)</x:f>
        <x:v>0.35</x:v>
      </x:c>
      <x:c r="H141" s="22" t="n">
        <x:f>ROUNDUP(F141*(1+G141)/Configuracion!$B$3,0)*Configuracion!$B$3</x:f>
        <x:v>32400</x:v>
      </x:c>
      <x:c r="I141" s="23" t="n">
        <x:f>IFERROR(VLOOKUP(B141,Configuracion!$A$9:$C$19,3,FALSE),Configuracion!$C$5)</x:f>
        <x:v>0.6</x:v>
      </x:c>
      <x:c r="J141" s="22" t="n">
        <x:f>ROUNDUP(F141*(1+I141)/Configuracion!$B$3,0)*Configuracion!$B$3</x:f>
        <x:v>38400</x:v>
      </x:c>
      <x:c r="K141" s="22" t="n">
        <x:f>ROUNDUP(J141*(1-Configuracion!$B$4)/Configuracion!$B$3,0)*Configuracion!$B$3</x:f>
        <x:v>36500</x:v>
      </x:c>
      <x:c r="L141" s="21" t="str"/>
      <x:c r="M141" s="21" t="str">
        <x:v>Unidad</x:v>
      </x:c>
      <x:c r="N141" s="21" t="str">
        <x:v>Revisar OCR</x:v>
      </x:c>
      <x:c r="O141" s="21" t="n">
        <x:v>61</x:v>
      </x:c>
      <x:c r="P141" s="21" t="str">
        <x:v>Extraído por OCR del PDF; revisar imagen si el código o texto aparece con dudas.</x:v>
      </x:c>
      <x:c r="Q141" s="21" t="str">
        <x:v>DAL1151650 // DISCOS ABRASIVO DE CORTE LATA X50 115*1,6</x:v>
      </x:c>
    </x:row>
    <x:row r="142">
      <x:c r="A142" s="21" t="n">
        <x:v>141</x:v>
      </x:c>
      <x:c r="B142" s="21" t="str">
        <x:v>Accesorios / Consumibles</x:v>
      </x:c>
      <x:c r="C142" s="21" t="str">
        <x:v>DDS2301-9</x:v>
      </x:c>
      <x:c r="D142" s="21" t="str">
        <x:v>Disco diamantado segmentado 230mm,</x:v>
      </x:c>
      <x:c r="E142" s="21" t="str">
        <x:v>Producto orientado a corte, desbaste y terminación. Recomendado para metal, obra y mantenimiento general.</x:v>
      </x:c>
      <x:c r="F142" s="40" t="n">
        <x:v>1829.96</x:v>
      </x:c>
      <x:c r="G142" s="23" t="n">
        <x:f>IFERROR(VLOOKUP(B142,Configuracion!$A$9:$C$19,2,FALSE),Configuracion!$B$5)</x:f>
        <x:v>0.35</x:v>
      </x:c>
      <x:c r="H142" s="22" t="n">
        <x:f>ROUNDUP(F142*(1+G142)/Configuracion!$B$3,0)*Configuracion!$B$3</x:f>
        <x:v>2500</x:v>
      </x:c>
      <x:c r="I142" s="23" t="n">
        <x:f>IFERROR(VLOOKUP(B142,Configuracion!$A$9:$C$19,3,FALSE),Configuracion!$C$5)</x:f>
        <x:v>0.6</x:v>
      </x:c>
      <x:c r="J142" s="22" t="n">
        <x:f>ROUNDUP(F142*(1+I142)/Configuracion!$B$3,0)*Configuracion!$B$3</x:f>
        <x:v>3000</x:v>
      </x:c>
      <x:c r="K142" s="22" t="n">
        <x:f>ROUNDUP(J142*(1-Configuracion!$B$4)/Configuracion!$B$3,0)*Configuracion!$B$3</x:f>
        <x:v>2900</x:v>
      </x:c>
      <x:c r="L142" s="21" t="str"/>
      <x:c r="M142" s="21" t="str">
        <x:v>Unidad</x:v>
      </x:c>
      <x:c r="N142" s="21" t="str">
        <x:v>Revisar OCR</x:v>
      </x:c>
      <x:c r="O142" s="21" t="n">
        <x:v>61</x:v>
      </x:c>
      <x:c r="P142" s="21" t="str">
        <x:v>Extraído por OCR del PDF; revisar imagen si el código o texto aparece con dudas.</x:v>
      </x:c>
      <x:c r="Q142" s="21" t="str">
        <x:v>Dds2301-9 Disco diamantado segmentado 230mm,</x:v>
      </x:c>
    </x:row>
    <x:row r="143">
      <x:c r="A143" s="21" t="n">
        <x:v>142</x:v>
      </x:c>
      <x:c r="B143" s="21" t="str">
        <x:v>Accesorios / Consumibles</x:v>
      </x:c>
      <x:c r="C143" s="21" t="str">
        <x:v>DDST15-9</x:v>
      </x:c>
      <x:c r="D143" s="21" t="str">
        <x:v>disco diamantado segmentado 115mm.</x:v>
      </x:c>
      <x:c r="E143" s="21" t="str">
        <x:v>Producto orientado a corte, desbaste y terminación. Recomendado para metal, obra y mantenimiento general.</x:v>
      </x:c>
      <x:c r="F143" s="40" t="n">
        <x:v>4006.39</x:v>
      </x:c>
      <x:c r="G143" s="23" t="n">
        <x:f>IFERROR(VLOOKUP(B143,Configuracion!$A$9:$C$19,2,FALSE),Configuracion!$B$5)</x:f>
        <x:v>0.35</x:v>
      </x:c>
      <x:c r="H143" s="22" t="n">
        <x:f>ROUNDUP(F143*(1+G143)/Configuracion!$B$3,0)*Configuracion!$B$3</x:f>
        <x:v>5500</x:v>
      </x:c>
      <x:c r="I143" s="23" t="n">
        <x:f>IFERROR(VLOOKUP(B143,Configuracion!$A$9:$C$19,3,FALSE),Configuracion!$C$5)</x:f>
        <x:v>0.6</x:v>
      </x:c>
      <x:c r="J143" s="22" t="n">
        <x:f>ROUNDUP(F143*(1+I143)/Configuracion!$B$3,0)*Configuracion!$B$3</x:f>
        <x:v>6500</x:v>
      </x:c>
      <x:c r="K143" s="22" t="n">
        <x:f>ROUNDUP(J143*(1-Configuracion!$B$4)/Configuracion!$B$3,0)*Configuracion!$B$3</x:f>
        <x:v>6200</x:v>
      </x:c>
      <x:c r="L143" s="21" t="str"/>
      <x:c r="M143" s="21" t="str">
        <x:v>Unidad</x:v>
      </x:c>
      <x:c r="N143" s="21" t="str">
        <x:v>OK</x:v>
      </x:c>
      <x:c r="O143" s="21" t="n">
        <x:v>61</x:v>
      </x:c>
      <x:c r="P143" s="21" t="str">
        <x:v>Extraído del PDF.</x:v>
      </x:c>
      <x:c r="Q143" s="21" t="str">
        <x:v>Ddst15-9 disco diamantado segmentado 115mm.</x:v>
      </x:c>
    </x:row>
    <x:row r="144">
      <x:c r="A144" s="21" t="n">
        <x:v>143</x:v>
      </x:c>
      <x:c r="B144" s="21" t="str">
        <x:v>Accesorios / Consumibles</x:v>
      </x:c>
      <x:c r="C144" s="21" t="str">
        <x:v>DMP115-9</x:v>
      </x:c>
      <x:c r="D144" s="21" t="str">
        <x:v>DISCO DE CORTE MULTIPROPOSITO 115MM</x:v>
      </x:c>
      <x:c r="E144" s="21" t="str">
        <x:v>Producto orientado a corte, desbaste y terminación. Recomendado para metal, obra y mantenimiento general.</x:v>
      </x:c>
      <x:c r="F144" s="40" t="n">
        <x:v>4877.85</x:v>
      </x:c>
      <x:c r="G144" s="23" t="n">
        <x:f>IFERROR(VLOOKUP(B144,Configuracion!$A$9:$C$19,2,FALSE),Configuracion!$B$5)</x:f>
        <x:v>0.35</x:v>
      </x:c>
      <x:c r="H144" s="22" t="n">
        <x:f>ROUNDUP(F144*(1+G144)/Configuracion!$B$3,0)*Configuracion!$B$3</x:f>
        <x:v>6600</x:v>
      </x:c>
      <x:c r="I144" s="23" t="n">
        <x:f>IFERROR(VLOOKUP(B144,Configuracion!$A$9:$C$19,3,FALSE),Configuracion!$C$5)</x:f>
        <x:v>0.6</x:v>
      </x:c>
      <x:c r="J144" s="22" t="n">
        <x:f>ROUNDUP(F144*(1+I144)/Configuracion!$B$3,0)*Configuracion!$B$3</x:f>
        <x:v>7900</x:v>
      </x:c>
      <x:c r="K144" s="22" t="n">
        <x:f>ROUNDUP(J144*(1-Configuracion!$B$4)/Configuracion!$B$3,0)*Configuracion!$B$3</x:f>
        <x:v>7600</x:v>
      </x:c>
      <x:c r="L144" s="21" t="str"/>
      <x:c r="M144" s="21" t="str">
        <x:v>Unidad</x:v>
      </x:c>
      <x:c r="N144" s="21" t="str">
        <x:v>OK</x:v>
      </x:c>
      <x:c r="O144" s="21" t="n">
        <x:v>62</x:v>
      </x:c>
      <x:c r="P144" s="21" t="str">
        <x:v>Extraído del PDF.</x:v>
      </x:c>
      <x:c r="Q144" s="21" t="str">
        <x:v>DMP115-9 DISCO DE CORTE MULTIPROPOSITO 115MM</x:v>
      </x:c>
    </x:row>
    <x:row r="145">
      <x:c r="A145" s="21" t="n">
        <x:v>144</x:v>
      </x:c>
      <x:c r="B145" s="21" t="str">
        <x:v>Accesorios / Consumibles</x:v>
      </x:c>
      <x:c r="C145" s="21" t="str">
        <x:v>DMS115-9</x:v>
      </x:c>
      <x:c r="D145" s="21" t="str">
        <x:v>DISCO DE CORTE PARA MADERA 115MM X10 UNIDADES</x:v>
      </x:c>
      <x:c r="E145" s="21" t="str">
        <x:v>Producto orientado a corte, desbaste y terminación. Recomendado para metal, obra y mantenimiento general.</x:v>
      </x:c>
      <x:c r="F145" s="40" t="n">
        <x:v>4354.77</x:v>
      </x:c>
      <x:c r="G145" s="23" t="n">
        <x:f>IFERROR(VLOOKUP(B145,Configuracion!$A$9:$C$19,2,FALSE),Configuracion!$B$5)</x:f>
        <x:v>0.35</x:v>
      </x:c>
      <x:c r="H145" s="22" t="n">
        <x:f>ROUNDUP(F145*(1+G145)/Configuracion!$B$3,0)*Configuracion!$B$3</x:f>
        <x:v>5900</x:v>
      </x:c>
      <x:c r="I145" s="23" t="n">
        <x:f>IFERROR(VLOOKUP(B145,Configuracion!$A$9:$C$19,3,FALSE),Configuracion!$C$5)</x:f>
        <x:v>0.6</x:v>
      </x:c>
      <x:c r="J145" s="22" t="n">
        <x:f>ROUNDUP(F145*(1+I145)/Configuracion!$B$3,0)*Configuracion!$B$3</x:f>
        <x:v>7000</x:v>
      </x:c>
      <x:c r="K145" s="22" t="n">
        <x:f>ROUNDUP(J145*(1-Configuracion!$B$4)/Configuracion!$B$3,0)*Configuracion!$B$3</x:f>
        <x:v>6700</x:v>
      </x:c>
      <x:c r="L145" s="21" t="str"/>
      <x:c r="M145" s="21" t="str">
        <x:v>Unidad</x:v>
      </x:c>
      <x:c r="N145" s="21" t="str">
        <x:v>OK</x:v>
      </x:c>
      <x:c r="O145" s="21" t="n">
        <x:v>62</x:v>
      </x:c>
      <x:c r="P145" s="21" t="str">
        <x:v>Extraído del PDF.</x:v>
      </x:c>
      <x:c r="Q145" s="21" t="str">
        <x:v>DMS115-9 DISCO DE CORTE PARA MADERA 115MM X10 UNIDADES</x:v>
      </x:c>
    </x:row>
    <x:row r="146">
      <x:c r="A146" s="21" t="n">
        <x:v>145</x:v>
      </x:c>
      <x:c r="B146" s="21" t="str">
        <x:v>Accesorios / Consumibles</x:v>
      </x:c>
      <x:c r="C146" s="21" t="str">
        <x:v>DDT115P-9</x:v>
      </x:c>
      <x:c r="D146" s="21" t="str">
        <x:v>DISCO DIAMANTADO TURBO FINO 115mm X10 U NIDADES</x:v>
      </x:c>
      <x:c r="E146" s="21" t="str">
        <x:v>Producto orientado a corte, desbaste y terminación. Recomendado para metal, obra y mantenimiento general.</x:v>
      </x:c>
      <x:c r="F146" s="40" t="n">
        <x:v>5225.72</x:v>
      </x:c>
      <x:c r="G146" s="23" t="n">
        <x:f>IFERROR(VLOOKUP(B146,Configuracion!$A$9:$C$19,2,FALSE),Configuracion!$B$5)</x:f>
        <x:v>0.35</x:v>
      </x:c>
      <x:c r="H146" s="22" t="n">
        <x:f>ROUNDUP(F146*(1+G146)/Configuracion!$B$3,0)*Configuracion!$B$3</x:f>
        <x:v>7100</x:v>
      </x:c>
      <x:c r="I146" s="23" t="n">
        <x:f>IFERROR(VLOOKUP(B146,Configuracion!$A$9:$C$19,3,FALSE),Configuracion!$C$5)</x:f>
        <x:v>0.6</x:v>
      </x:c>
      <x:c r="J146" s="22" t="n">
        <x:f>ROUNDUP(F146*(1+I146)/Configuracion!$B$3,0)*Configuracion!$B$3</x:f>
        <x:v>8400</x:v>
      </x:c>
      <x:c r="K146" s="22" t="n">
        <x:f>ROUNDUP(J146*(1-Configuracion!$B$4)/Configuracion!$B$3,0)*Configuracion!$B$3</x:f>
        <x:v>8000</x:v>
      </x:c>
      <x:c r="L146" s="21" t="str"/>
      <x:c r="M146" s="21" t="str">
        <x:v>Unidad</x:v>
      </x:c>
      <x:c r="N146" s="21" t="str">
        <x:v>OK</x:v>
      </x:c>
      <x:c r="O146" s="21" t="n">
        <x:v>62</x:v>
      </x:c>
      <x:c r="P146" s="21" t="str">
        <x:v>Extraído del PDF.</x:v>
      </x:c>
      <x:c r="Q146" s="21" t="str">
        <x:v>DDT115P-9 DISCO DIAMANTADO TURBO FINO 115mm X10 U NIDADES</x:v>
      </x:c>
    </x:row>
    <x:row r="147">
      <x:c r="A147" s="21" t="n">
        <x:v>146</x:v>
      </x:c>
      <x:c r="B147" s="21" t="str">
        <x:v>Accesorios / Consumibles</x:v>
      </x:c>
      <x:c r="C147" s="21" t="str">
        <x:v>LQFLAP60</x:v>
      </x:c>
      <x:c r="D147" s="21" t="str">
        <x:v>Disco Flap GR60 Zirconio</x:v>
      </x:c>
      <x:c r="E147" s="21" t="str">
        <x:v>Producto orientado a corte, desbaste y terminación. Recomendado para metal, obra y mantenimiento general.</x:v>
      </x:c>
      <x:c r="F147" s="40" t="n">
        <x:v>1487.76</x:v>
      </x:c>
      <x:c r="G147" s="23" t="n">
        <x:f>IFERROR(VLOOKUP(B147,Configuracion!$A$9:$C$19,2,FALSE),Configuracion!$B$5)</x:f>
        <x:v>0.35</x:v>
      </x:c>
      <x:c r="H147" s="22" t="n">
        <x:f>ROUNDUP(F147*(1+G147)/Configuracion!$B$3,0)*Configuracion!$B$3</x:f>
        <x:v>2100</x:v>
      </x:c>
      <x:c r="I147" s="23" t="n">
        <x:f>IFERROR(VLOOKUP(B147,Configuracion!$A$9:$C$19,3,FALSE),Configuracion!$C$5)</x:f>
        <x:v>0.6</x:v>
      </x:c>
      <x:c r="J147" s="22" t="n">
        <x:f>ROUNDUP(F147*(1+I147)/Configuracion!$B$3,0)*Configuracion!$B$3</x:f>
        <x:v>2400</x:v>
      </x:c>
      <x:c r="K147" s="22" t="n">
        <x:f>ROUNDUP(J147*(1-Configuracion!$B$4)/Configuracion!$B$3,0)*Configuracion!$B$3</x:f>
        <x:v>2300</x:v>
      </x:c>
      <x:c r="L147" s="21" t="str"/>
      <x:c r="M147" s="21" t="str">
        <x:v>Unidad</x:v>
      </x:c>
      <x:c r="N147" s="21" t="str">
        <x:v>Revisar OCR</x:v>
      </x:c>
      <x:c r="O147" s="21" t="n">
        <x:v>63</x:v>
      </x:c>
      <x:c r="P147" s="21" t="str">
        <x:v>Extraído por OCR del PDF; revisar imagen si el código o texto aparece con dudas.</x:v>
      </x:c>
      <x:c r="Q147" s="21" t="str">
        <x:v>LQFLAP60 Disco Flap GR60 Zirconio</x:v>
      </x:c>
    </x:row>
    <x:row r="148">
      <x:c r="A148" s="21" t="n">
        <x:v>147</x:v>
      </x:c>
      <x:c r="B148" s="21" t="str">
        <x:v>Accesorios / Consumibles</x:v>
      </x:c>
      <x:c r="C148" s="21" t="str">
        <x:v>DVC115-9</x:v>
      </x:c>
      <x:c r="D148" s="21" t="str">
        <x:v>Disco de Corte para Vidrio</x:v>
      </x:c>
      <x:c r="E148" s="21" t="str">
        <x:v>Producto orientado a corte, desbaste y terminación. Recomendado para metal, obra y mantenimiento general.</x:v>
      </x:c>
      <x:c r="F148" s="40" t="n">
        <x:v>4877.85</x:v>
      </x:c>
      <x:c r="G148" s="23" t="n">
        <x:f>IFERROR(VLOOKUP(B148,Configuracion!$A$9:$C$19,2,FALSE),Configuracion!$B$5)</x:f>
        <x:v>0.35</x:v>
      </x:c>
      <x:c r="H148" s="22" t="n">
        <x:f>ROUNDUP(F148*(1+G148)/Configuracion!$B$3,0)*Configuracion!$B$3</x:f>
        <x:v>6600</x:v>
      </x:c>
      <x:c r="I148" s="23" t="n">
        <x:f>IFERROR(VLOOKUP(B148,Configuracion!$A$9:$C$19,3,FALSE),Configuracion!$C$5)</x:f>
        <x:v>0.6</x:v>
      </x:c>
      <x:c r="J148" s="22" t="n">
        <x:f>ROUNDUP(F148*(1+I148)/Configuracion!$B$3,0)*Configuracion!$B$3</x:f>
        <x:v>7900</x:v>
      </x:c>
      <x:c r="K148" s="22" t="n">
        <x:f>ROUNDUP(J148*(1-Configuracion!$B$4)/Configuracion!$B$3,0)*Configuracion!$B$3</x:f>
        <x:v>7600</x:v>
      </x:c>
      <x:c r="L148" s="21" t="str"/>
      <x:c r="M148" s="21" t="str">
        <x:v>Unidad</x:v>
      </x:c>
      <x:c r="N148" s="21" t="str">
        <x:v>OK</x:v>
      </x:c>
      <x:c r="O148" s="21" t="n">
        <x:v>63</x:v>
      </x:c>
      <x:c r="P148" s="21" t="str">
        <x:v>Extraído del PDF.</x:v>
      </x:c>
      <x:c r="Q148" s="21" t="str">
        <x:v>DVC115-9 Disco de Corte para Vidrio</x:v>
      </x:c>
    </x:row>
    <x:row r="149">
      <x:c r="A149" s="21" t="n">
        <x:v>148</x:v>
      </x:c>
      <x:c r="B149" s="21" t="str">
        <x:v>Accesorios / Consumibles</x:v>
      </x:c>
      <x:c r="C149" s="21" t="str">
        <x:v>EEPGP500</x:v>
      </x:c>
      <x:c r="D149" s="21" t="str">
        <x:v>ESPUMA DE POLIURETANO 500ML GARDEN PLU SCAJA X12</x:v>
      </x:c>
      <x:c r="E149" s="21" t="str">
        <x:v>Herramienta o conjunto para organización y trabajo de taller. Producto práctico para mecánica, mantenimiento y uso profesional.</x:v>
      </x:c>
      <x:c r="F149" s="40" t="n">
        <x:v>54344.36</x:v>
      </x:c>
      <x:c r="G149" s="23" t="n">
        <x:f>IFERROR(VLOOKUP(B149,Configuracion!$A$9:$C$19,2,FALSE),Configuracion!$B$5)</x:f>
        <x:v>0.35</x:v>
      </x:c>
      <x:c r="H149" s="22" t="n">
        <x:f>ROUNDUP(F149*(1+G149)/Configuracion!$B$3,0)*Configuracion!$B$3</x:f>
        <x:v>73400</x:v>
      </x:c>
      <x:c r="I149" s="23" t="n">
        <x:f>IFERROR(VLOOKUP(B149,Configuracion!$A$9:$C$19,3,FALSE),Configuracion!$C$5)</x:f>
        <x:v>0.6</x:v>
      </x:c>
      <x:c r="J149" s="22" t="n">
        <x:f>ROUNDUP(F149*(1+I149)/Configuracion!$B$3,0)*Configuracion!$B$3</x:f>
        <x:v>87000</x:v>
      </x:c>
      <x:c r="K149" s="22" t="n">
        <x:f>ROUNDUP(J149*(1-Configuracion!$B$4)/Configuracion!$B$3,0)*Configuracion!$B$3</x:f>
        <x:v>82700</x:v>
      </x:c>
      <x:c r="L149" s="21" t="str"/>
      <x:c r="M149" s="21" t="str">
        <x:v>Unidad</x:v>
      </x:c>
      <x:c r="N149" s="21" t="str">
        <x:v>Revisar OCR</x:v>
      </x:c>
      <x:c r="O149" s="21" t="n">
        <x:v>63</x:v>
      </x:c>
      <x:c r="P149" s="21" t="str">
        <x:v>Extraído por OCR del PDF; revisar imagen si el código o texto aparece con dudas.</x:v>
      </x:c>
      <x:c r="Q149" s="21" t="str">
        <x:v>EEPGP500 ESPUMA DE POLIURETANO 500ML GARDEN PLU SCAJA X12</x:v>
      </x:c>
    </x:row>
    <x:row r="150">
      <x:c r="A150" s="21" t="n">
        <x:v>149</x:v>
      </x:c>
      <x:c r="B150" s="21" t="str">
        <x:v>Accesorios / Consumibles</x:v>
      </x:c>
      <x:c r="C150" s="21" t="str">
        <x:v>EEPGP750</x:v>
      </x:c>
      <x:c r="D150" s="21" t="str">
        <x:v>ESPUMA DE POLIURETANO 750ML GARDEN PLUS CAJA X12</x:v>
      </x:c>
      <x:c r="E150" s="21" t="str">
        <x:v>Herramienta o conjunto para organización y trabajo de taller. Producto práctico para mecánica, mantenimiento y uso profesional.</x:v>
      </x:c>
      <x:c r="F150" s="40" t="n">
        <x:v>69871.31</x:v>
      </x:c>
      <x:c r="G150" s="23" t="n">
        <x:f>IFERROR(VLOOKUP(B150,Configuracion!$A$9:$C$19,2,FALSE),Configuracion!$B$5)</x:f>
        <x:v>0.35</x:v>
      </x:c>
      <x:c r="H150" s="22" t="n">
        <x:f>ROUNDUP(F150*(1+G150)/Configuracion!$B$3,0)*Configuracion!$B$3</x:f>
        <x:v>94400</x:v>
      </x:c>
      <x:c r="I150" s="23" t="n">
        <x:f>IFERROR(VLOOKUP(B150,Configuracion!$A$9:$C$19,3,FALSE),Configuracion!$C$5)</x:f>
        <x:v>0.6</x:v>
      </x:c>
      <x:c r="J150" s="22" t="n">
        <x:f>ROUNDUP(F150*(1+I150)/Configuracion!$B$3,0)*Configuracion!$B$3</x:f>
        <x:v>111800</x:v>
      </x:c>
      <x:c r="K150" s="22" t="n">
        <x:f>ROUNDUP(J150*(1-Configuracion!$B$4)/Configuracion!$B$3,0)*Configuracion!$B$3</x:f>
        <x:v>106300</x:v>
      </x:c>
      <x:c r="L150" s="21" t="str"/>
      <x:c r="M150" s="21" t="str">
        <x:v>Unidad</x:v>
      </x:c>
      <x:c r="N150" s="21" t="str">
        <x:v>Revisar OCR</x:v>
      </x:c>
      <x:c r="O150" s="21" t="n">
        <x:v>64</x:v>
      </x:c>
      <x:c r="P150" s="21" t="str">
        <x:v>Extraído por OCR del PDF; revisar imagen si el código o texto aparece con dudas.</x:v>
      </x:c>
      <x:c r="Q150" s="21" t="str">
        <x:v>EEPGP750 ESPUMA DE POLIURETANO 750ML GARDEN PLUS CAJA X12</x:v>
      </x:c>
    </x:row>
    <x:row r="151">
      <x:c r="A151" s="21" t="n">
        <x:v>150</x:v>
      </x:c>
      <x:c r="B151" s="21" t="str">
        <x:v>Accesorios / Consumibles</x:v>
      </x:c>
      <x:c r="C151" s="21" t="str"/>
      <x:c r="D151" s="21" t="str">
        <x:v>ESPUMA EXPANSIVA BRIXTER 300ML (Caja 12 unidades)</x:v>
      </x:c>
      <x:c r="E151" s="21" t="str">
        <x:v>Herramienta o conjunto para organización y trabajo de taller. Producto práctico para mecánica, mantenimiento y uso profesional.</x:v>
      </x:c>
      <x:c r="F151" s="40" t="n">
        <x:v>3080.75</x:v>
      </x:c>
      <x:c r="G151" s="23" t="n">
        <x:f>IFERROR(VLOOKUP(B151,Configuracion!$A$9:$C$19,2,FALSE),Configuracion!$B$5)</x:f>
        <x:v>0.35</x:v>
      </x:c>
      <x:c r="H151" s="22" t="n">
        <x:f>ROUNDUP(F151*(1+G151)/Configuracion!$B$3,0)*Configuracion!$B$3</x:f>
        <x:v>4200</x:v>
      </x:c>
      <x:c r="I151" s="23" t="n">
        <x:f>IFERROR(VLOOKUP(B151,Configuracion!$A$9:$C$19,3,FALSE),Configuracion!$C$5)</x:f>
        <x:v>0.6</x:v>
      </x:c>
      <x:c r="J151" s="22" t="n">
        <x:f>ROUNDUP(F151*(1+I151)/Configuracion!$B$3,0)*Configuracion!$B$3</x:f>
        <x:v>5000</x:v>
      </x:c>
      <x:c r="K151" s="22" t="n">
        <x:f>ROUNDUP(J151*(1-Configuracion!$B$4)/Configuracion!$B$3,0)*Configuracion!$B$3</x:f>
        <x:v>4800</x:v>
      </x:c>
      <x:c r="L151" s="21" t="str"/>
      <x:c r="M151" s="21" t="str">
        <x:v>Unidad</x:v>
      </x:c>
      <x:c r="N151" s="21" t="str">
        <x:v>OK</x:v>
      </x:c>
      <x:c r="O151" s="21" t="n">
        <x:v>64</x:v>
      </x:c>
      <x:c r="P151" s="21" t="str">
        <x:v>Extraído del PDF.</x:v>
      </x:c>
      <x:c r="Q151" s="21" t="str">
        <x:v>ESPUMA EXPANSIVA BRIXTER 300ML (Caja 12 unidades)</x:v>
      </x:c>
    </x:row>
    <x:row r="152">
      <x:c r="A152" s="21" t="n">
        <x:v>151</x:v>
      </x:c>
      <x:c r="B152" s="21" t="str">
        <x:v>Accesorios / Consumibles</x:v>
      </x:c>
      <x:c r="C152" s="21" t="str">
        <x:v>TR240L-9</x:v>
      </x:c>
      <x:c r="D152" s="21" t="str">
        <x:v>TANZA AMARILLA PERFIL REDONDO 2.4mm,</x:v>
      </x:c>
      <x:c r="E152" s="21" t="str">
        <x:v>Consumible o accesorio complementario para reposición, mantenimiento y venta por rotación.</x:v>
      </x:c>
      <x:c r="F152" s="40" t="n">
        <x:v>18807.12</x:v>
      </x:c>
      <x:c r="G152" s="23" t="n">
        <x:f>IFERROR(VLOOKUP(B152,Configuracion!$A$9:$C$19,2,FALSE),Configuracion!$B$5)</x:f>
        <x:v>0.35</x:v>
      </x:c>
      <x:c r="H152" s="22" t="n">
        <x:f>ROUNDUP(F152*(1+G152)/Configuracion!$B$3,0)*Configuracion!$B$3</x:f>
        <x:v>25400</x:v>
      </x:c>
      <x:c r="I152" s="23" t="n">
        <x:f>IFERROR(VLOOKUP(B152,Configuracion!$A$9:$C$19,3,FALSE),Configuracion!$C$5)</x:f>
        <x:v>0.6</x:v>
      </x:c>
      <x:c r="J152" s="22" t="n">
        <x:f>ROUNDUP(F152*(1+I152)/Configuracion!$B$3,0)*Configuracion!$B$3</x:f>
        <x:v>30100</x:v>
      </x:c>
      <x:c r="K152" s="22" t="n">
        <x:f>ROUNDUP(J152*(1-Configuracion!$B$4)/Configuracion!$B$3,0)*Configuracion!$B$3</x:f>
        <x:v>28600</x:v>
      </x:c>
      <x:c r="L152" s="21" t="str"/>
      <x:c r="M152" s="21" t="str">
        <x:v>Unidad</x:v>
      </x:c>
      <x:c r="N152" s="21" t="str">
        <x:v>Revisar OCR</x:v>
      </x:c>
      <x:c r="O152" s="21" t="n">
        <x:v>64</x:v>
      </x:c>
      <x:c r="P152" s="21" t="str">
        <x:v>Extraído por OCR del PDF; revisar imagen si el código o texto aparece con dudas.</x:v>
      </x:c>
      <x:c r="Q152" s="21" t="str">
        <x:v>TR240L-9 TANZA AMARILLA PERFIL REDONDO 2.4mm,</x:v>
      </x:c>
    </x:row>
    <x:row r="153">
      <x:c r="A153" s="21" t="n">
        <x:v>152</x:v>
      </x:c>
      <x:c r="B153" s="21" t="str">
        <x:v>Accesorios / Consumibles</x:v>
      </x:c>
      <x:c r="C153" s="21" t="str">
        <x:v>BSBI840-9</x:v>
      </x:c>
      <x:c r="D153" s="21" t="str">
        <x:v>Batería 4A,</x:v>
      </x:c>
      <x:c r="E153" s="21" t="str">
        <x:v>Producto Lusqtoff para uso profesional, taller, hogar o mantenimiento. Consultar disponibilidad y garantía oficial.</x:v>
      </x:c>
      <x:c r="F153" s="40" t="n">
        <x:v>52485.64</x:v>
      </x:c>
      <x:c r="G153" s="23" t="n">
        <x:f>IFERROR(VLOOKUP(B153,Configuracion!$A$9:$C$19,2,FALSE),Configuracion!$B$5)</x:f>
        <x:v>0.35</x:v>
      </x:c>
      <x:c r="H153" s="22" t="n">
        <x:f>ROUNDUP(F153*(1+G153)/Configuracion!$B$3,0)*Configuracion!$B$3</x:f>
        <x:v>70900</x:v>
      </x:c>
      <x:c r="I153" s="23" t="n">
        <x:f>IFERROR(VLOOKUP(B153,Configuracion!$A$9:$C$19,3,FALSE),Configuracion!$C$5)</x:f>
        <x:v>0.6</x:v>
      </x:c>
      <x:c r="J153" s="22" t="n">
        <x:f>ROUNDUP(F153*(1+I153)/Configuracion!$B$3,0)*Configuracion!$B$3</x:f>
        <x:v>84000</x:v>
      </x:c>
      <x:c r="K153" s="22" t="n">
        <x:f>ROUNDUP(J153*(1-Configuracion!$B$4)/Configuracion!$B$3,0)*Configuracion!$B$3</x:f>
        <x:v>79800</x:v>
      </x:c>
      <x:c r="L153" s="21" t="str"/>
      <x:c r="M153" s="21" t="str">
        <x:v>Unidad</x:v>
      </x:c>
      <x:c r="N153" s="21" t="str">
        <x:v>OK</x:v>
      </x:c>
      <x:c r="O153" s="21" t="n">
        <x:v>65</x:v>
      </x:c>
      <x:c r="P153" s="21" t="str">
        <x:v>Extraído del PDF.</x:v>
      </x:c>
      <x:c r="Q153" s="21" t="str">
        <x:v>BSBI840-9 Batería 4A,</x:v>
      </x:c>
    </x:row>
    <x:row r="154">
      <x:c r="A154" s="21" t="n">
        <x:v>153</x:v>
      </x:c>
      <x:c r="B154" s="21" t="str">
        <x:v>Accesorios / Consumibles</x:v>
      </x:c>
      <x:c r="C154" s="21" t="str"/>
      <x:c r="D154" s="21" t="str">
        <x:v>GORRA LUSQTOFF</x:v>
      </x:c>
      <x:c r="E154" s="21" t="str">
        <x:v>Consumible o accesorio complementario para reposición, mantenimiento y venta por rotación.</x:v>
      </x:c>
      <x:c r="F154" s="40" t="n">
        <x:v>12322.98</x:v>
      </x:c>
      <x:c r="G154" s="23" t="n">
        <x:f>IFERROR(VLOOKUP(B154,Configuracion!$A$9:$C$19,2,FALSE),Configuracion!$B$5)</x:f>
        <x:v>0.35</x:v>
      </x:c>
      <x:c r="H154" s="22" t="n">
        <x:f>ROUNDUP(F154*(1+G154)/Configuracion!$B$3,0)*Configuracion!$B$3</x:f>
        <x:v>16700</x:v>
      </x:c>
      <x:c r="I154" s="23" t="n">
        <x:f>IFERROR(VLOOKUP(B154,Configuracion!$A$9:$C$19,3,FALSE),Configuracion!$C$5)</x:f>
        <x:v>0.6</x:v>
      </x:c>
      <x:c r="J154" s="22" t="n">
        <x:f>ROUNDUP(F154*(1+I154)/Configuracion!$B$3,0)*Configuracion!$B$3</x:f>
        <x:v>19800</x:v>
      </x:c>
      <x:c r="K154" s="22" t="n">
        <x:f>ROUNDUP(J154*(1-Configuracion!$B$4)/Configuracion!$B$3,0)*Configuracion!$B$3</x:f>
        <x:v>18900</x:v>
      </x:c>
      <x:c r="L154" s="21" t="str"/>
      <x:c r="M154" s="21" t="str">
        <x:v>Unidad</x:v>
      </x:c>
      <x:c r="N154" s="21" t="str">
        <x:v>OK</x:v>
      </x:c>
      <x:c r="O154" s="21" t="n">
        <x:v>65</x:v>
      </x:c>
      <x:c r="P154" s="21" t="str">
        <x:v>Extraído del PDF.</x:v>
      </x:c>
      <x:c r="Q154" s="21" t="str">
        <x:v>GORRA LUSQTOFF</x:v>
      </x:c>
    </x:row>
    <x:row r="155">
      <x:c r="A155" s="21" t="n">
        <x:v>154</x:v>
      </x:c>
      <x:c r="B155" s="21" t="str">
        <x:v>Accesorios / Consumibles</x:v>
      </x:c>
      <x:c r="C155" s="21" t="str">
        <x:v>SIALTIO-8</x:v>
      </x:c>
      <x:c r="D155" s="21" t="str">
        <x:v>SILICONA ACETICA X10 UNIDADES</x:v>
      </x:c>
      <x:c r="E155" s="21" t="str">
        <x:v>Consumible o accesorio complementario para reposición, mantenimiento y venta por rotación.</x:v>
      </x:c>
      <x:c r="F155" s="40" t="n">
        <x:v>19244.48</x:v>
      </x:c>
      <x:c r="G155" s="23" t="n">
        <x:f>IFERROR(VLOOKUP(B155,Configuracion!$A$9:$C$19,2,FALSE),Configuracion!$B$5)</x:f>
        <x:v>0.35</x:v>
      </x:c>
      <x:c r="H155" s="22" t="n">
        <x:f>ROUNDUP(F155*(1+G155)/Configuracion!$B$3,0)*Configuracion!$B$3</x:f>
        <x:v>26000</x:v>
      </x:c>
      <x:c r="I155" s="23" t="n">
        <x:f>IFERROR(VLOOKUP(B155,Configuracion!$A$9:$C$19,3,FALSE),Configuracion!$C$5)</x:f>
        <x:v>0.6</x:v>
      </x:c>
      <x:c r="J155" s="22" t="n">
        <x:f>ROUNDUP(F155*(1+I155)/Configuracion!$B$3,0)*Configuracion!$B$3</x:f>
        <x:v>30800</x:v>
      </x:c>
      <x:c r="K155" s="22" t="n">
        <x:f>ROUNDUP(J155*(1-Configuracion!$B$4)/Configuracion!$B$3,0)*Configuracion!$B$3</x:f>
        <x:v>29300</x:v>
      </x:c>
      <x:c r="L155" s="21" t="str"/>
      <x:c r="M155" s="21" t="str">
        <x:v>Unidad</x:v>
      </x:c>
      <x:c r="N155" s="21" t="str">
        <x:v>OK</x:v>
      </x:c>
      <x:c r="O155" s="21" t="n">
        <x:v>65</x:v>
      </x:c>
      <x:c r="P155" s="21" t="str">
        <x:v>Extraído del PDF.</x:v>
      </x:c>
      <x:c r="Q155" s="21" t="str">
        <x:v>SIALTIO-8 SILICONA ACETICA X10 UNIDADES</x:v>
      </x:c>
    </x:row>
    <x:row r="156">
      <x:c r="A156" s="21" t="n">
        <x:v>155</x:v>
      </x:c>
      <x:c r="B156" s="21" t="str">
        <x:v>Accesorios / Consumibles</x:v>
      </x:c>
      <x:c r="C156" s="21" t="str">
        <x:v>11412</x:v>
      </x:c>
      <x:c r="D156" s="21" t="str">
        <x:v>CINTA AMARRE CRIQUE 700KG x4u LUSQTOFF</x:v>
      </x:c>
      <x:c r="E156" s="21" t="str">
        <x:v>Consumible o accesorio complementario para reposición, mantenimiento y venta por rotación.</x:v>
      </x:c>
      <x:c r="F156" s="40" t="n">
        <x:v>33240.63</x:v>
      </x:c>
      <x:c r="G156" s="23" t="n">
        <x:f>IFERROR(VLOOKUP(B156,Configuracion!$A$9:$C$19,2,FALSE),Configuracion!$B$5)</x:f>
        <x:v>0.35</x:v>
      </x:c>
      <x:c r="H156" s="22" t="n">
        <x:f>ROUNDUP(F156*(1+G156)/Configuracion!$B$3,0)*Configuracion!$B$3</x:f>
        <x:v>44900</x:v>
      </x:c>
      <x:c r="I156" s="23" t="n">
        <x:f>IFERROR(VLOOKUP(B156,Configuracion!$A$9:$C$19,3,FALSE),Configuracion!$C$5)</x:f>
        <x:v>0.6</x:v>
      </x:c>
      <x:c r="J156" s="22" t="n">
        <x:f>ROUNDUP(F156*(1+I156)/Configuracion!$B$3,0)*Configuracion!$B$3</x:f>
        <x:v>53200</x:v>
      </x:c>
      <x:c r="K156" s="22" t="n">
        <x:f>ROUNDUP(J156*(1-Configuracion!$B$4)/Configuracion!$B$3,0)*Configuracion!$B$3</x:f>
        <x:v>50600</x:v>
      </x:c>
      <x:c r="L156" s="21" t="str"/>
      <x:c r="M156" s="21" t="str">
        <x:v>Unidad</x:v>
      </x:c>
      <x:c r="N156" s="21" t="str">
        <x:v>OK</x:v>
      </x:c>
      <x:c r="O156" s="21" t="n">
        <x:v>66</x:v>
      </x:c>
      <x:c r="P156" s="21" t="str">
        <x:v>Extraído del PDF.</x:v>
      </x:c>
      <x:c r="Q156" s="21" t="str">
        <x:v>11412 - CINTA AMARRE CRIQUE 700KG x4u LUSQTOFF</x:v>
      </x:c>
    </x:row>
    <x:row r="157">
      <x:c r="A157" s="21" t="n">
        <x:v>156</x:v>
      </x:c>
      <x:c r="B157" s="21" t="str">
        <x:v>Generadores / Bomba de Agua</x:v>
      </x:c>
      <x:c r="C157" s="21" t="str">
        <x:v>GP2500</x:v>
      </x:c>
      <x:c r="D157" s="21" t="str">
        <x:v>GENERADOR NAFTERO 2500W GARDEN PLUS</x:v>
      </x:c>
      <x:c r="E157" s="21" t="str">
        <x:v>Equipo de fuerza y abastecimiento. Recomendado para respaldo de energía, riego, desagote o trabajos en exterior.</x:v>
      </x:c>
      <x:c r="F157" s="40" t="n">
        <x:v>323478.31</x:v>
      </x:c>
      <x:c r="G157" s="23" t="n">
        <x:f>IFERROR(VLOOKUP(B157,Configuracion!$A$9:$C$19,2,FALSE),Configuracion!$B$5)</x:f>
        <x:v>0.18</x:v>
      </x:c>
      <x:c r="H157" s="22" t="n">
        <x:f>ROUNDUP(F157*(1+G157)/Configuracion!$B$3,0)*Configuracion!$B$3</x:f>
        <x:v>381800</x:v>
      </x:c>
      <x:c r="I157" s="23" t="n">
        <x:f>IFERROR(VLOOKUP(B157,Configuracion!$A$9:$C$19,3,FALSE),Configuracion!$C$5)</x:f>
        <x:v>0.35</x:v>
      </x:c>
      <x:c r="J157" s="22" t="n">
        <x:f>ROUNDUP(F157*(1+I157)/Configuracion!$B$3,0)*Configuracion!$B$3</x:f>
        <x:v>436700</x:v>
      </x:c>
      <x:c r="K157" s="22" t="n">
        <x:f>ROUNDUP(J157*(1-Configuracion!$B$4)/Configuracion!$B$3,0)*Configuracion!$B$3</x:f>
        <x:v>414900</x:v>
      </x:c>
      <x:c r="L157" s="21" t="str"/>
      <x:c r="M157" s="21" t="str">
        <x:v>Unidad</x:v>
      </x:c>
      <x:c r="N157" s="21" t="str">
        <x:v>OK</x:v>
      </x:c>
      <x:c r="O157" s="21" t="n">
        <x:v>67</x:v>
      </x:c>
      <x:c r="P157" s="21" t="str">
        <x:v>Extraído del PDF.</x:v>
      </x:c>
      <x:c r="Q157" s="21" t="str">
        <x:v>GP2500 // GENERADOR NAFTERO 2500W GARDEN PLUS</x:v>
      </x:c>
    </x:row>
    <x:row r="158">
      <x:c r="A158" s="21" t="n">
        <x:v>157</x:v>
      </x:c>
      <x:c r="B158" s="21" t="str">
        <x:v>Generadores / Bomba de Agua</x:v>
      </x:c>
      <x:c r="C158" s="21" t="str">
        <x:v>CPMI58</x:v>
      </x:c>
      <x:c r="D158" s="21" t="str">
        <x:v>BOMBA CENTRIFUGA</x:v>
      </x:c>
      <x:c r="E158" s="21" t="str">
        <x:v>Equipo de fuerza y abastecimiento. Recomendado para respaldo de energía, riego, desagote o trabajos en exterior.</x:v>
      </x:c>
      <x:c r="F158" s="40" t="n">
        <x:v>89223.94</x:v>
      </x:c>
      <x:c r="G158" s="23" t="n">
        <x:f>IFERROR(VLOOKUP(B158,Configuracion!$A$9:$C$19,2,FALSE),Configuracion!$B$5)</x:f>
        <x:v>0.18</x:v>
      </x:c>
      <x:c r="H158" s="22" t="n">
        <x:f>ROUNDUP(F158*(1+G158)/Configuracion!$B$3,0)*Configuracion!$B$3</x:f>
        <x:v>105300</x:v>
      </x:c>
      <x:c r="I158" s="23" t="n">
        <x:f>IFERROR(VLOOKUP(B158,Configuracion!$A$9:$C$19,3,FALSE),Configuracion!$C$5)</x:f>
        <x:v>0.35</x:v>
      </x:c>
      <x:c r="J158" s="22" t="n">
        <x:f>ROUNDUP(F158*(1+I158)/Configuracion!$B$3,0)*Configuracion!$B$3</x:f>
        <x:v>120500</x:v>
      </x:c>
      <x:c r="K158" s="22" t="n">
        <x:f>ROUNDUP(J158*(1-Configuracion!$B$4)/Configuracion!$B$3,0)*Configuracion!$B$3</x:f>
        <x:v>114500</x:v>
      </x:c>
      <x:c r="L158" s="21" t="str"/>
      <x:c r="M158" s="21" t="str">
        <x:v>Unidad</x:v>
      </x:c>
      <x:c r="N158" s="21" t="str">
        <x:v>Revisar OCR</x:v>
      </x:c>
      <x:c r="O158" s="21" t="n">
        <x:v>68</x:v>
      </x:c>
      <x:c r="P158" s="21" t="str">
        <x:v>Extraído por OCR del PDF; revisar imagen si el código o texto aparece con dudas.</x:v>
      </x:c>
      <x:c r="Q158" s="21" t="str">
        <x:v>CPMI58 // BOMBA CENTRIFUGA</x:v>
      </x:c>
    </x:row>
    <x:row r="159">
      <x:c r="A159" s="21" t="n">
        <x:v>158</x:v>
      </x:c>
      <x:c r="B159" s="21" t="str">
        <x:v>Generadores / Bomba de Agua</x:v>
      </x:c>
      <x:c r="C159" s="21" t="str">
        <x:v>CPM190T</x:v>
      </x:c>
      <x:c r="D159" s="21" t="str">
        <x:v>BOMBA CENTRIFUGA 2HP TRIFASICA</x:v>
      </x:c>
      <x:c r="E159" s="21" t="str">
        <x:v>Equipo de fuerza y abastecimiento. Recomendado para respaldo de energía, riego, desagote o trabajos en exterior.</x:v>
      </x:c>
      <x:c r="F159" s="40" t="n">
        <x:v>311407.17</x:v>
      </x:c>
      <x:c r="G159" s="23" t="n">
        <x:f>IFERROR(VLOOKUP(B159,Configuracion!$A$9:$C$19,2,FALSE),Configuracion!$B$5)</x:f>
        <x:v>0.18</x:v>
      </x:c>
      <x:c r="H159" s="22" t="n">
        <x:f>ROUNDUP(F159*(1+G159)/Configuracion!$B$3,0)*Configuracion!$B$3</x:f>
        <x:v>367500</x:v>
      </x:c>
      <x:c r="I159" s="23" t="n">
        <x:f>IFERROR(VLOOKUP(B159,Configuracion!$A$9:$C$19,3,FALSE),Configuracion!$C$5)</x:f>
        <x:v>0.35</x:v>
      </x:c>
      <x:c r="J159" s="22" t="n">
        <x:f>ROUNDUP(F159*(1+I159)/Configuracion!$B$3,0)*Configuracion!$B$3</x:f>
        <x:v>420400</x:v>
      </x:c>
      <x:c r="K159" s="22" t="n">
        <x:f>ROUNDUP(J159*(1-Configuracion!$B$4)/Configuracion!$B$3,0)*Configuracion!$B$3</x:f>
        <x:v>399400</x:v>
      </x:c>
      <x:c r="L159" s="21" t="str"/>
      <x:c r="M159" s="21" t="str">
        <x:v>Unidad</x:v>
      </x:c>
      <x:c r="N159" s="21" t="str">
        <x:v>Revisar OCR</x:v>
      </x:c>
      <x:c r="O159" s="21" t="n">
        <x:v>68</x:v>
      </x:c>
      <x:c r="P159" s="21" t="str">
        <x:v>Extraído por OCR del PDF; revisar imagen si el código o texto aparece con dudas.</x:v>
      </x:c>
      <x:c r="Q159" s="21" t="str">
        <x:v>CPM190T // BOMBA CENTRIFUGA 2HP TRIFASICA</x:v>
      </x:c>
    </x:row>
    <x:row r="160">
      <x:c r="A160" s="21" t="n">
        <x:v>159</x:v>
      </x:c>
      <x:c r="B160" s="21" t="str">
        <x:v>Generadores / Bomba de Agua</x:v>
      </x:c>
      <x:c r="C160" s="21" t="str">
        <x:v>BP150G-7</x:v>
      </x:c>
      <x:c r="D160" s="21" t="str">
        <x:v>BOMBA PERIFERICA 0,5 HP GARDEN PLUS</x:v>
      </x:c>
      <x:c r="E160" s="21" t="str">
        <x:v>Equipo de fuerza y abastecimiento. Recomendado para respaldo de energía, riego, desagote o trabajos en exterior.</x:v>
      </x:c>
      <x:c r="F160" s="40" t="n">
        <x:v>29000</x:v>
      </x:c>
      <x:c r="G160" s="23" t="n">
        <x:f>IFERROR(VLOOKUP(B160,Configuracion!$A$9:$C$19,2,FALSE),Configuracion!$B$5)</x:f>
        <x:v>0.18</x:v>
      </x:c>
      <x:c r="H160" s="22" t="n">
        <x:f>ROUNDUP(F160*(1+G160)/Configuracion!$B$3,0)*Configuracion!$B$3</x:f>
        <x:v>34300</x:v>
      </x:c>
      <x:c r="I160" s="23" t="n">
        <x:f>IFERROR(VLOOKUP(B160,Configuracion!$A$9:$C$19,3,FALSE),Configuracion!$C$5)</x:f>
        <x:v>0.35</x:v>
      </x:c>
      <x:c r="J160" s="22" t="n">
        <x:f>ROUNDUP(F160*(1+I160)/Configuracion!$B$3,0)*Configuracion!$B$3</x:f>
        <x:v>39200</x:v>
      </x:c>
      <x:c r="K160" s="22" t="n">
        <x:f>ROUNDUP(J160*(1-Configuracion!$B$4)/Configuracion!$B$3,0)*Configuracion!$B$3</x:f>
        <x:v>37300</x:v>
      </x:c>
      <x:c r="L160" s="21" t="str"/>
      <x:c r="M160" s="21" t="str">
        <x:v>Unidad</x:v>
      </x:c>
      <x:c r="N160" s="21" t="str">
        <x:v>Revisar OCR</x:v>
      </x:c>
      <x:c r="O160" s="21" t="n">
        <x:v>68</x:v>
      </x:c>
      <x:c r="P160" s="21" t="str">
        <x:v>Extraído por OCR del PDF; revisar imagen si el código o texto aparece con dudas.</x:v>
      </x:c>
      <x:c r="Q160" s="21" t="str">
        <x:v>BP150G-7 // BOMBA PERIFERICA 0,5 HP GARDEN PLUS</x:v>
      </x:c>
    </x:row>
    <x:row r="161">
      <x:c r="A161" s="21" t="n">
        <x:v>160</x:v>
      </x:c>
      <x:c r="B161" s="21" t="str">
        <x:v>Generadores / Bomba de Agua</x:v>
      </x:c>
      <x:c r="C161" s="21" t="str">
        <x:v>LLP-250</x:v>
      </x:c>
      <x:c r="D161" s="21" t="str">
        <x:v>BOMBA SUMERGIBLE 3 en1</x:v>
      </x:c>
      <x:c r="E161" s="21" t="str">
        <x:v>Equipo de fuerza y abastecimiento. Recomendado para respaldo de energía, riego, desagote o trabajos en exterior.</x:v>
      </x:c>
      <x:c r="F161" s="40" t="n">
        <x:v>66480.18</x:v>
      </x:c>
      <x:c r="G161" s="23" t="n">
        <x:f>IFERROR(VLOOKUP(B161,Configuracion!$A$9:$C$19,2,FALSE),Configuracion!$B$5)</x:f>
        <x:v>0.18</x:v>
      </x:c>
      <x:c r="H161" s="22" t="n">
        <x:f>ROUNDUP(F161*(1+G161)/Configuracion!$B$3,0)*Configuracion!$B$3</x:f>
        <x:v>78500</x:v>
      </x:c>
      <x:c r="I161" s="23" t="n">
        <x:f>IFERROR(VLOOKUP(B161,Configuracion!$A$9:$C$19,3,FALSE),Configuracion!$C$5)</x:f>
        <x:v>0.35</x:v>
      </x:c>
      <x:c r="J161" s="22" t="n">
        <x:f>ROUNDUP(F161*(1+I161)/Configuracion!$B$3,0)*Configuracion!$B$3</x:f>
        <x:v>89800</x:v>
      </x:c>
      <x:c r="K161" s="22" t="n">
        <x:f>ROUNDUP(J161*(1-Configuracion!$B$4)/Configuracion!$B$3,0)*Configuracion!$B$3</x:f>
        <x:v>85400</x:v>
      </x:c>
      <x:c r="L161" s="21" t="str"/>
      <x:c r="M161" s="21" t="str">
        <x:v>Unidad</x:v>
      </x:c>
      <x:c r="N161" s="21" t="str">
        <x:v>OK</x:v>
      </x:c>
      <x:c r="O161" s="21" t="n">
        <x:v>69</x:v>
      </x:c>
      <x:c r="P161" s="21" t="str">
        <x:v>Extraído del PDF.</x:v>
      </x:c>
      <x:c r="Q161" s="21" t="str">
        <x:v>LLP-250 // BOMBA SUMERGIBLE 3 en1</x:v>
      </x:c>
    </x:row>
    <x:row r="162">
      <x:c r="A162" s="21" t="n">
        <x:v>161</x:v>
      </x:c>
      <x:c r="B162" s="21" t="str">
        <x:v>Generadores / Bomba de Agua</x:v>
      </x:c>
      <x:c r="C162" s="21" t="str">
        <x:v>LMB-20</x:v>
      </x:c>
      <x:c r="D162" s="21" t="str">
        <x:v>MOTOBOMBA NAFTERA 2" 5SHP</x:v>
      </x:c>
      <x:c r="E162" s="21" t="str">
        <x:v>Equipo de fuerza y abastecimiento. Recomendado para respaldo de energía, riego, desagote o trabajos en exterior.</x:v>
      </x:c>
      <x:c r="F162" s="40" t="n">
        <x:v>297411.35</x:v>
      </x:c>
      <x:c r="G162" s="23" t="n">
        <x:f>IFERROR(VLOOKUP(B162,Configuracion!$A$9:$C$19,2,FALSE),Configuracion!$B$5)</x:f>
        <x:v>0.18</x:v>
      </x:c>
      <x:c r="H162" s="22" t="n">
        <x:f>ROUNDUP(F162*(1+G162)/Configuracion!$B$3,0)*Configuracion!$B$3</x:f>
        <x:v>351000</x:v>
      </x:c>
      <x:c r="I162" s="23" t="n">
        <x:f>IFERROR(VLOOKUP(B162,Configuracion!$A$9:$C$19,3,FALSE),Configuracion!$C$5)</x:f>
        <x:v>0.35</x:v>
      </x:c>
      <x:c r="J162" s="22" t="n">
        <x:f>ROUNDUP(F162*(1+I162)/Configuracion!$B$3,0)*Configuracion!$B$3</x:f>
        <x:v>401600</x:v>
      </x:c>
      <x:c r="K162" s="22" t="n">
        <x:f>ROUNDUP(J162*(1-Configuracion!$B$4)/Configuracion!$B$3,0)*Configuracion!$B$3</x:f>
        <x:v>381600</x:v>
      </x:c>
      <x:c r="L162" s="21" t="str"/>
      <x:c r="M162" s="21" t="str">
        <x:v>Unidad</x:v>
      </x:c>
      <x:c r="N162" s="21" t="str">
        <x:v>OK</x:v>
      </x:c>
      <x:c r="O162" s="21" t="n">
        <x:v>69</x:v>
      </x:c>
      <x:c r="P162" s="21" t="str">
        <x:v>Extraído del PDF.</x:v>
      </x:c>
      <x:c r="Q162" s="21" t="str">
        <x:v>LMB-20 // MOTOBOMBA NAFTERA 2" 5SHP</x:v>
      </x:c>
    </x:row>
    <x:row r="163">
      <x:c r="A163" s="21" t="n">
        <x:v>162</x:v>
      </x:c>
      <x:c r="B163" s="21" t="str">
        <x:v>Generadores / Bomba de Agua</x:v>
      </x:c>
      <x:c r="C163" s="21" t="str">
        <x:v>MPS-1</x:v>
      </x:c>
      <x:c r="D163" s="21" t="str">
        <x:v>REGULADOR AUTOMATICO DE PRESION</x:v>
      </x:c>
      <x:c r="E163" s="21" t="str">
        <x:v>Producto para cuidado automotor, detailing y mantenimiento. Ideal para limpieza, energía auxiliar y uso de taller.</x:v>
      </x:c>
      <x:c r="F163" s="40" t="n">
        <x:v>38488.53</x:v>
      </x:c>
      <x:c r="G163" s="23" t="n">
        <x:f>IFERROR(VLOOKUP(B163,Configuracion!$A$9:$C$19,2,FALSE),Configuracion!$B$5)</x:f>
        <x:v>0.18</x:v>
      </x:c>
      <x:c r="H163" s="22" t="n">
        <x:f>ROUNDUP(F163*(1+G163)/Configuracion!$B$3,0)*Configuracion!$B$3</x:f>
        <x:v>45500</x:v>
      </x:c>
      <x:c r="I163" s="23" t="n">
        <x:f>IFERROR(VLOOKUP(B163,Configuracion!$A$9:$C$19,3,FALSE),Configuracion!$C$5)</x:f>
        <x:v>0.35</x:v>
      </x:c>
      <x:c r="J163" s="22" t="n">
        <x:f>ROUNDUP(F163*(1+I163)/Configuracion!$B$3,0)*Configuracion!$B$3</x:f>
        <x:v>52000</x:v>
      </x:c>
      <x:c r="K163" s="22" t="n">
        <x:f>ROUNDUP(J163*(1-Configuracion!$B$4)/Configuracion!$B$3,0)*Configuracion!$B$3</x:f>
        <x:v>49400</x:v>
      </x:c>
      <x:c r="L163" s="21" t="str"/>
      <x:c r="M163" s="21" t="str">
        <x:v>Unidad</x:v>
      </x:c>
      <x:c r="N163" s="21" t="str">
        <x:v>OK</x:v>
      </x:c>
      <x:c r="O163" s="21" t="n">
        <x:v>69</x:v>
      </x:c>
      <x:c r="P163" s="21" t="str">
        <x:v>Extraído del PDF.</x:v>
      </x:c>
      <x:c r="Q163" s="21" t="str">
        <x:v>MPS-1 // REGULADOR AUTOMATICO DE PRESION</x:v>
      </x:c>
    </x:row>
    <x:row r="164">
      <x:c r="A164" s="21" t="n">
        <x:v>163</x:v>
      </x:c>
      <x:c r="B164" s="21" t="str">
        <x:v>Estética y Accesorios Automotor</x:v>
      </x:c>
      <x:c r="C164" s="21" t="str">
        <x:v>PB-100</x:v>
      </x:c>
      <x:c r="D164" s="21" t="str">
        <x:v>Cargador Portatil Arrancador Celular</x:v>
      </x:c>
      <x:c r="E164" s="21" t="str">
        <x:v>Producto para cuidado automotor, detailing y mantenimiento. Ideal para limpieza, energía auxiliar y uso de taller.</x:v>
      </x:c>
      <x:c r="F164" s="40" t="n">
        <x:v>87094.74</x:v>
      </x:c>
      <x:c r="G164" s="23" t="n">
        <x:f>IFERROR(VLOOKUP(B164,Configuracion!$A$9:$C$19,2,FALSE),Configuracion!$B$5)</x:f>
        <x:v>0.3</x:v>
      </x:c>
      <x:c r="H164" s="22" t="n">
        <x:f>ROUNDUP(F164*(1+G164)/Configuracion!$B$3,0)*Configuracion!$B$3</x:f>
        <x:v>113300</x:v>
      </x:c>
      <x:c r="I164" s="23" t="n">
        <x:f>IFERROR(VLOOKUP(B164,Configuracion!$A$9:$C$19,3,FALSE),Configuracion!$C$5)</x:f>
        <x:v>0.55</x:v>
      </x:c>
      <x:c r="J164" s="22" t="n">
        <x:f>ROUNDUP(F164*(1+I164)/Configuracion!$B$3,0)*Configuracion!$B$3</x:f>
        <x:v>135000</x:v>
      </x:c>
      <x:c r="K164" s="22" t="n">
        <x:f>ROUNDUP(J164*(1-Configuracion!$B$4)/Configuracion!$B$3,0)*Configuracion!$B$3</x:f>
        <x:v>128300</x:v>
      </x:c>
      <x:c r="L164" s="21" t="str"/>
      <x:c r="M164" s="21" t="str">
        <x:v>Unidad</x:v>
      </x:c>
      <x:c r="N164" s="21" t="str">
        <x:v>OK</x:v>
      </x:c>
      <x:c r="O164" s="21" t="n">
        <x:v>70</x:v>
      </x:c>
      <x:c r="P164" s="21" t="str">
        <x:v>Extraído del PDF.</x:v>
      </x:c>
      <x:c r="Q164" s="21" t="str">
        <x:v>PB-100 Cargador Portatil Arrancador Celular</x:v>
      </x:c>
    </x:row>
    <x:row r="165">
      <x:c r="A165" s="21" t="n">
        <x:v>164</x:v>
      </x:c>
      <x:c r="B165" s="21" t="str">
        <x:v>Estética y Accesorios Automotor</x:v>
      </x:c>
      <x:c r="C165" s="21" t="str">
        <x:v>LCC-20</x:v>
      </x:c>
      <x:c r="D165" s="21" t="str">
        <x:v>CARGADOR BATERIA 20A 12V</x:v>
      </x:c>
      <x:c r="E165" s="21" t="str">
        <x:v>Producto para cuidado automotor, detailing y mantenimiento. Ideal para limpieza, energía auxiliar y uso de taller.</x:v>
      </x:c>
      <x:c r="F165" s="40" t="n">
        <x:v>122463.49</x:v>
      </x:c>
      <x:c r="G165" s="23" t="n">
        <x:f>IFERROR(VLOOKUP(B165,Configuracion!$A$9:$C$19,2,FALSE),Configuracion!$B$5)</x:f>
        <x:v>0.3</x:v>
      </x:c>
      <x:c r="H165" s="22" t="n">
        <x:f>ROUNDUP(F165*(1+G165)/Configuracion!$B$3,0)*Configuracion!$B$3</x:f>
        <x:v>159300</x:v>
      </x:c>
      <x:c r="I165" s="23" t="n">
        <x:f>IFERROR(VLOOKUP(B165,Configuracion!$A$9:$C$19,3,FALSE),Configuracion!$C$5)</x:f>
        <x:v>0.55</x:v>
      </x:c>
      <x:c r="J165" s="22" t="n">
        <x:f>ROUNDUP(F165*(1+I165)/Configuracion!$B$3,0)*Configuracion!$B$3</x:f>
        <x:v>189900</x:v>
      </x:c>
      <x:c r="K165" s="22" t="n">
        <x:f>ROUNDUP(J165*(1-Configuracion!$B$4)/Configuracion!$B$3,0)*Configuracion!$B$3</x:f>
        <x:v>180500</x:v>
      </x:c>
      <x:c r="L165" s="21" t="str"/>
      <x:c r="M165" s="21" t="str">
        <x:v>Unidad</x:v>
      </x:c>
      <x:c r="N165" s="21" t="str">
        <x:v>OK</x:v>
      </x:c>
      <x:c r="O165" s="21" t="n">
        <x:v>71</x:v>
      </x:c>
      <x:c r="P165" s="21" t="str">
        <x:v>Extraído del PDF.</x:v>
      </x:c>
      <x:c r="Q165" s="21" t="str">
        <x:v>LCC-20 // CARGADOR BATERIA 20A 12V</x:v>
      </x:c>
    </x:row>
    <x:row r="166">
      <x:c r="A166" s="21" t="n">
        <x:v>165</x:v>
      </x:c>
      <x:c r="B166" s="21" t="str">
        <x:v>Estética y Accesorios Automotor</x:v>
      </x:c>
      <x:c r="C166" s="21" t="str">
        <x:v>LCR-40</x:v>
      </x:c>
      <x:c r="D166" s="21" t="str">
        <x:v>CARGADOR DE BATERIA 12V LUSQTOFF</x:v>
      </x:c>
      <x:c r="E166" s="21" t="str">
        <x:v>Producto Lusqtoff para uso profesional, taller, hogar o mantenimiento. Consultar disponibilidad y garantía oficial.</x:v>
      </x:c>
      <x:c r="F166" s="40" t="n">
        <x:v>174947.85</x:v>
      </x:c>
      <x:c r="G166" s="23" t="n">
        <x:f>IFERROR(VLOOKUP(B166,Configuracion!$A$9:$C$19,2,FALSE),Configuracion!$B$5)</x:f>
        <x:v>0.3</x:v>
      </x:c>
      <x:c r="H166" s="22" t="n">
        <x:f>ROUNDUP(F166*(1+G166)/Configuracion!$B$3,0)*Configuracion!$B$3</x:f>
        <x:v>227500</x:v>
      </x:c>
      <x:c r="I166" s="23" t="n">
        <x:f>IFERROR(VLOOKUP(B166,Configuracion!$A$9:$C$19,3,FALSE),Configuracion!$C$5)</x:f>
        <x:v>0.55</x:v>
      </x:c>
      <x:c r="J166" s="22" t="n">
        <x:f>ROUNDUP(F166*(1+I166)/Configuracion!$B$3,0)*Configuracion!$B$3</x:f>
        <x:v>271200</x:v>
      </x:c>
      <x:c r="K166" s="22" t="n">
        <x:f>ROUNDUP(J166*(1-Configuracion!$B$4)/Configuracion!$B$3,0)*Configuracion!$B$3</x:f>
        <x:v>257700</x:v>
      </x:c>
      <x:c r="L166" s="21" t="str"/>
      <x:c r="M166" s="21" t="str">
        <x:v>Unidad</x:v>
      </x:c>
      <x:c r="N166" s="21" t="str">
        <x:v>Revisar OCR</x:v>
      </x:c>
      <x:c r="O166" s="21" t="n">
        <x:v>71</x:v>
      </x:c>
      <x:c r="P166" s="21" t="str">
        <x:v>Extraído por OCR del PDF; revisar imagen si el código o texto aparece con dudas.</x:v>
      </x:c>
      <x:c r="Q166" s="21" t="str">
        <x:v>LCR-40 // CARGADOR DE BATERIA 12V LUSQTOFF</x:v>
      </x:c>
    </x:row>
    <x:row r="167">
      <x:c r="A167" s="21" t="n">
        <x:v>166</x:v>
      </x:c>
      <x:c r="B167" s="21" t="str">
        <x:v>Estética y Accesorios Automotor</x:v>
      </x:c>
      <x:c r="C167" s="21" t="str">
        <x:v>MCLI50-8</x:v>
      </x:c>
      <x:c r="D167" s="21" t="str">
        <x:v>MINI COMPRESOR 12V 150psi</x:v>
      </x:c>
      <x:c r="E167" s="21" t="str">
        <x:v>Equipo y accesorios para aire comprimido. Ideal para inflado, pintura, limpieza, herramientas neumáticas y uso de taller.</x:v>
      </x:c>
      <x:c r="F167" s="40" t="n">
        <x:v>59482.27</x:v>
      </x:c>
      <x:c r="G167" s="23" t="n">
        <x:f>IFERROR(VLOOKUP(B167,Configuracion!$A$9:$C$19,2,FALSE),Configuracion!$B$5)</x:f>
        <x:v>0.3</x:v>
      </x:c>
      <x:c r="H167" s="22" t="n">
        <x:f>ROUNDUP(F167*(1+G167)/Configuracion!$B$3,0)*Configuracion!$B$3</x:f>
        <x:v>77400</x:v>
      </x:c>
      <x:c r="I167" s="23" t="n">
        <x:f>IFERROR(VLOOKUP(B167,Configuracion!$A$9:$C$19,3,FALSE),Configuracion!$C$5)</x:f>
        <x:v>0.55</x:v>
      </x:c>
      <x:c r="J167" s="22" t="n">
        <x:f>ROUNDUP(F167*(1+I167)/Configuracion!$B$3,0)*Configuracion!$B$3</x:f>
        <x:v>92200</x:v>
      </x:c>
      <x:c r="K167" s="22" t="n">
        <x:f>ROUNDUP(J167*(1-Configuracion!$B$4)/Configuracion!$B$3,0)*Configuracion!$B$3</x:f>
        <x:v>87600</x:v>
      </x:c>
      <x:c r="L167" s="21" t="str"/>
      <x:c r="M167" s="21" t="str">
        <x:v>Unidad</x:v>
      </x:c>
      <x:c r="N167" s="21" t="str">
        <x:v>Revisar OCR</x:v>
      </x:c>
      <x:c r="O167" s="21" t="n">
        <x:v>71</x:v>
      </x:c>
      <x:c r="P167" s="21" t="str">
        <x:v>Extraído por OCR del PDF; revisar imagen si el código o texto aparece con dudas.</x:v>
      </x:c>
      <x:c r="Q167" s="21" t="str">
        <x:v>MCLI50-8 // MINI COMPRESOR 12V 150psi</x:v>
      </x:c>
    </x:row>
    <x:row r="168">
      <x:c r="A168" s="21" t="n">
        <x:v>167</x:v>
      </x:c>
      <x:c r="B168" s="21" t="str">
        <x:v>Estética y Accesorios Automotor</x:v>
      </x:c>
      <x:c r="C168" s="21" t="str">
        <x:v>AIISOL-8K</x:v>
      </x:c>
      <x:c r="D168" s="21" t="str">
        <x:v>ARRANCADOR INFLADOR PORTATIL</x:v>
      </x:c>
      <x:c r="E168" s="21" t="str">
        <x:v>Producto para cuidado automotor, detailing y mantenimiento. Ideal para limpieza, energía auxiliar y uso de taller.</x:v>
      </x:c>
      <x:c r="F168" s="40" t="n">
        <x:v>162251.92</x:v>
      </x:c>
      <x:c r="G168" s="23" t="n">
        <x:f>IFERROR(VLOOKUP(B168,Configuracion!$A$9:$C$19,2,FALSE),Configuracion!$B$5)</x:f>
        <x:v>0.3</x:v>
      </x:c>
      <x:c r="H168" s="22" t="n">
        <x:f>ROUNDUP(F168*(1+G168)/Configuracion!$B$3,0)*Configuracion!$B$3</x:f>
        <x:v>211000</x:v>
      </x:c>
      <x:c r="I168" s="23" t="n">
        <x:f>IFERROR(VLOOKUP(B168,Configuracion!$A$9:$C$19,3,FALSE),Configuracion!$C$5)</x:f>
        <x:v>0.55</x:v>
      </x:c>
      <x:c r="J168" s="22" t="n">
        <x:f>ROUNDUP(F168*(1+I168)/Configuracion!$B$3,0)*Configuracion!$B$3</x:f>
        <x:v>251500</x:v>
      </x:c>
      <x:c r="K168" s="22" t="n">
        <x:f>ROUNDUP(J168*(1-Configuracion!$B$4)/Configuracion!$B$3,0)*Configuracion!$B$3</x:f>
        <x:v>239000</x:v>
      </x:c>
      <x:c r="L168" s="21" t="str"/>
      <x:c r="M168" s="21" t="str">
        <x:v>Unidad</x:v>
      </x:c>
      <x:c r="N168" s="21" t="str">
        <x:v>OK</x:v>
      </x:c>
      <x:c r="O168" s="21" t="n">
        <x:v>72</x:v>
      </x:c>
      <x:c r="P168" s="21" t="str">
        <x:v>Extraído del PDF.</x:v>
      </x:c>
      <x:c r="Q168" s="21" t="str">
        <x:v>AIISOL-8K ARRANCADOR INFLADOR PORTATIL</x:v>
      </x:c>
    </x:row>
    <x:row r="169">
      <x:c r="A169" s="21" t="n">
        <x:v>168</x:v>
      </x:c>
      <x:c r="B169" s="21" t="str">
        <x:v>Estética y Accesorios Automotor</x:v>
      </x:c>
      <x:c r="C169" s="21" t="str">
        <x:v>IL150-8</x:v>
      </x:c>
      <x:c r="D169" s="21" t="str">
        <x:v>INFLADOR A BATERIA CON MEDIDOR DIGITAL</x:v>
      </x:c>
      <x:c r="E169" s="21" t="str">
        <x:v>Producto Lusqtoff para uso profesional, taller, hogar o mantenimiento. Consultar disponibilidad y garantía oficial.</x:v>
      </x:c>
      <x:c r="F169" s="40" t="n">
        <x:v>87474.96</x:v>
      </x:c>
      <x:c r="G169" s="23" t="n">
        <x:f>IFERROR(VLOOKUP(B169,Configuracion!$A$9:$C$19,2,FALSE),Configuracion!$B$5)</x:f>
        <x:v>0.3</x:v>
      </x:c>
      <x:c r="H169" s="22" t="n">
        <x:f>ROUNDUP(F169*(1+G169)/Configuracion!$B$3,0)*Configuracion!$B$3</x:f>
        <x:v>113800</x:v>
      </x:c>
      <x:c r="I169" s="23" t="n">
        <x:f>IFERROR(VLOOKUP(B169,Configuracion!$A$9:$C$19,3,FALSE),Configuracion!$C$5)</x:f>
        <x:v>0.55</x:v>
      </x:c>
      <x:c r="J169" s="22" t="n">
        <x:f>ROUNDUP(F169*(1+I169)/Configuracion!$B$3,0)*Configuracion!$B$3</x:f>
        <x:v>135600</x:v>
      </x:c>
      <x:c r="K169" s="22" t="n">
        <x:f>ROUNDUP(J169*(1-Configuracion!$B$4)/Configuracion!$B$3,0)*Configuracion!$B$3</x:f>
        <x:v>128900</x:v>
      </x:c>
      <x:c r="L169" s="21" t="str"/>
      <x:c r="M169" s="21" t="str">
        <x:v>Unidad</x:v>
      </x:c>
      <x:c r="N169" s="21" t="str">
        <x:v>OK</x:v>
      </x:c>
      <x:c r="O169" s="21" t="n">
        <x:v>72</x:v>
      </x:c>
      <x:c r="P169" s="21" t="str">
        <x:v>Extraído del PDF.</x:v>
      </x:c>
      <x:c r="Q169" s="21" t="str">
        <x:v>IL150-8 INFLADOR A BATERIA CON MEDIDOR DIGITAL</x:v>
      </x:c>
    </x:row>
    <x:row r="170">
      <x:c r="A170" s="21" t="n">
        <x:v>169</x:v>
      </x:c>
      <x:c r="B170" s="21" t="str">
        <x:v>Estética y Accesorios Automotor</x:v>
      </x:c>
      <x:c r="C170" s="21" t="str">
        <x:v>SETPLAI0-9</x:v>
      </x:c>
      <x:c r="D170" s="21" t="str">
        <x:v>SET DE LIMPIEZA PARA AUTO - 10 PIEZAS.</x:v>
      </x:c>
      <x:c r="E170" s="21" t="str">
        <x:v>Producto para cuidado automotor, detailing y mantenimiento. Ideal para limpieza, energía auxiliar y uso de taller.</x:v>
      </x:c>
      <x:c r="F170" s="40" t="n">
        <x:v>34915.12</x:v>
      </x:c>
      <x:c r="G170" s="23" t="n">
        <x:f>IFERROR(VLOOKUP(B170,Configuracion!$A$9:$C$19,2,FALSE),Configuracion!$B$5)</x:f>
        <x:v>0.3</x:v>
      </x:c>
      <x:c r="H170" s="22" t="n">
        <x:f>ROUNDUP(F170*(1+G170)/Configuracion!$B$3,0)*Configuracion!$B$3</x:f>
        <x:v>45400</x:v>
      </x:c>
      <x:c r="I170" s="23" t="n">
        <x:f>IFERROR(VLOOKUP(B170,Configuracion!$A$9:$C$19,3,FALSE),Configuracion!$C$5)</x:f>
        <x:v>0.55</x:v>
      </x:c>
      <x:c r="J170" s="22" t="n">
        <x:f>ROUNDUP(F170*(1+I170)/Configuracion!$B$3,0)*Configuracion!$B$3</x:f>
        <x:v>54200</x:v>
      </x:c>
      <x:c r="K170" s="22" t="n">
        <x:f>ROUNDUP(J170*(1-Configuracion!$B$4)/Configuracion!$B$3,0)*Configuracion!$B$3</x:f>
        <x:v>51500</x:v>
      </x:c>
      <x:c r="L170" s="21" t="str"/>
      <x:c r="M170" s="21" t="str">
        <x:v>Unidad</x:v>
      </x:c>
      <x:c r="N170" s="21" t="str">
        <x:v>OK</x:v>
      </x:c>
      <x:c r="O170" s="21" t="n">
        <x:v>72</x:v>
      </x:c>
      <x:c r="P170" s="21" t="str">
        <x:v>Extraído del PDF.</x:v>
      </x:c>
      <x:c r="Q170" s="21" t="str">
        <x:v>SETPLAI0-9 SET DE LIMPIEZA PARA AUTO - 10 PIEZAS.</x:v>
      </x:c>
    </x:row>
    <x:row r="171">
      <x:c r="A171" s="21" t="n">
        <x:v>170</x:v>
      </x:c>
      <x:c r="B171" s="21" t="str">
        <x:v>Estética y Accesorios Automotor</x:v>
      </x:c>
      <x:c r="C171" s="21" t="str">
        <x:v>LQH91204</x:v>
      </x:c>
      <x:c r="D171" s="21" t="str">
        <x:v>CRIQUET BOTELLA 12TN</x:v>
      </x:c>
      <x:c r="E171" s="21" t="str">
        <x:v>Producto Lusqtoff para uso profesional, taller, hogar o mantenimiento. Consultar disponibilidad y garantía oficial.</x:v>
      </x:c>
      <x:c r="F171" s="40" t="n">
        <x:v>69979.14</x:v>
      </x:c>
      <x:c r="G171" s="23" t="n">
        <x:f>IFERROR(VLOOKUP(B171,Configuracion!$A$9:$C$19,2,FALSE),Configuracion!$B$5)</x:f>
        <x:v>0.3</x:v>
      </x:c>
      <x:c r="H171" s="22" t="n">
        <x:f>ROUNDUP(F171*(1+G171)/Configuracion!$B$3,0)*Configuracion!$B$3</x:f>
        <x:v>91000</x:v>
      </x:c>
      <x:c r="I171" s="23" t="n">
        <x:f>IFERROR(VLOOKUP(B171,Configuracion!$A$9:$C$19,3,FALSE),Configuracion!$C$5)</x:f>
        <x:v>0.55</x:v>
      </x:c>
      <x:c r="J171" s="22" t="n">
        <x:f>ROUNDUP(F171*(1+I171)/Configuracion!$B$3,0)*Configuracion!$B$3</x:f>
        <x:v>108500</x:v>
      </x:c>
      <x:c r="K171" s="22" t="n">
        <x:f>ROUNDUP(J171*(1-Configuracion!$B$4)/Configuracion!$B$3,0)*Configuracion!$B$3</x:f>
        <x:v>103100</x:v>
      </x:c>
      <x:c r="L171" s="21" t="str"/>
      <x:c r="M171" s="21" t="str">
        <x:v>Unidad</x:v>
      </x:c>
      <x:c r="N171" s="21" t="str">
        <x:v>Revisar OCR</x:v>
      </x:c>
      <x:c r="O171" s="21" t="n">
        <x:v>73</x:v>
      </x:c>
      <x:c r="P171" s="21" t="str">
        <x:v>Extraído por OCR del PDF; revisar imagen si el código o texto aparece con dudas.</x:v>
      </x:c>
      <x:c r="Q171" s="21" t="str">
        <x:v>LQH91204 CRIQUET BOTELLA 12TN</x:v>
      </x:c>
    </x:row>
    <x:row r="172">
      <x:c r="A172" s="21" t="n">
        <x:v>171</x:v>
      </x:c>
      <x:c r="B172" s="21" t="str">
        <x:v>Estética y Accesorios Automotor</x:v>
      </x:c>
      <x:c r="C172" s="21" t="str">
        <x:v>PUL180-9B</x:v>
      </x:c>
      <x:c r="D172" s="21" t="str">
        <x:v>PULIDORA INALAMBRICA</x:v>
      </x:c>
      <x:c r="E172" s="21" t="str">
        <x:v>Producto para cuidado automotor, detailing y mantenimiento. Ideal para limpieza, energía auxiliar y uso de taller.</x:v>
      </x:c>
      <x:c r="F172" s="40" t="n">
        <x:v>367394.84</x:v>
      </x:c>
      <x:c r="G172" s="23" t="n">
        <x:f>IFERROR(VLOOKUP(B172,Configuracion!$A$9:$C$19,2,FALSE),Configuracion!$B$5)</x:f>
        <x:v>0.3</x:v>
      </x:c>
      <x:c r="H172" s="22" t="n">
        <x:f>ROUNDUP(F172*(1+G172)/Configuracion!$B$3,0)*Configuracion!$B$3</x:f>
        <x:v>477700</x:v>
      </x:c>
      <x:c r="I172" s="23" t="n">
        <x:f>IFERROR(VLOOKUP(B172,Configuracion!$A$9:$C$19,3,FALSE),Configuracion!$C$5)</x:f>
        <x:v>0.55</x:v>
      </x:c>
      <x:c r="J172" s="22" t="n">
        <x:f>ROUNDUP(F172*(1+I172)/Configuracion!$B$3,0)*Configuracion!$B$3</x:f>
        <x:v>569500</x:v>
      </x:c>
      <x:c r="K172" s="22" t="n">
        <x:f>ROUNDUP(J172*(1-Configuracion!$B$4)/Configuracion!$B$3,0)*Configuracion!$B$3</x:f>
        <x:v>541100</x:v>
      </x:c>
      <x:c r="L172" s="21" t="str"/>
      <x:c r="M172" s="21" t="str">
        <x:v>Unidad</x:v>
      </x:c>
      <x:c r="N172" s="21" t="str">
        <x:v>Revisar OCR</x:v>
      </x:c>
      <x:c r="O172" s="21" t="n">
        <x:v>73</x:v>
      </x:c>
      <x:c r="P172" s="21" t="str">
        <x:v>Extraído por OCR del PDF; revisar imagen si el código o texto aparece con dudas.</x:v>
      </x:c>
      <x:c r="Q172" s="21" t="str">
        <x:v>PUL180-9B PULIDORA INALAMBRICA</x:v>
      </x:c>
    </x:row>
    <x:row r="173">
      <x:c r="A173" s="21" t="n">
        <x:v>172</x:v>
      </x:c>
      <x:c r="B173" s="21" t="str">
        <x:v>Estética y Accesorios Automotor</x:v>
      </x:c>
      <x:c r="C173" s="21" t="str">
        <x:v>PRDL900-9</x:v>
      </x:c>
      <x:c r="D173" s="21" t="str">
        <x:v>PULIDORA ROTO ORBITAL</x:v>
      </x:c>
      <x:c r="E173" s="21" t="str">
        <x:v>Producto para cuidado automotor, detailing y mantenimiento. Ideal para limpieza, energía auxiliar y uso de taller.</x:v>
      </x:c>
      <x:c r="F173" s="40" t="n">
        <x:v>139352.4</x:v>
      </x:c>
      <x:c r="G173" s="23" t="n">
        <x:f>IFERROR(VLOOKUP(B173,Configuracion!$A$9:$C$19,2,FALSE),Configuracion!$B$5)</x:f>
        <x:v>0.3</x:v>
      </x:c>
      <x:c r="H173" s="22" t="n">
        <x:f>ROUNDUP(F173*(1+G173)/Configuracion!$B$3,0)*Configuracion!$B$3</x:f>
        <x:v>181200</x:v>
      </x:c>
      <x:c r="I173" s="23" t="n">
        <x:f>IFERROR(VLOOKUP(B173,Configuracion!$A$9:$C$19,3,FALSE),Configuracion!$C$5)</x:f>
        <x:v>0.55</x:v>
      </x:c>
      <x:c r="J173" s="22" t="n">
        <x:f>ROUNDUP(F173*(1+I173)/Configuracion!$B$3,0)*Configuracion!$B$3</x:f>
        <x:v>216000</x:v>
      </x:c>
      <x:c r="K173" s="22" t="n">
        <x:f>ROUNDUP(J173*(1-Configuracion!$B$4)/Configuracion!$B$3,0)*Configuracion!$B$3</x:f>
        <x:v>205200</x:v>
      </x:c>
      <x:c r="L173" s="21" t="str"/>
      <x:c r="M173" s="21" t="str">
        <x:v>Unidad</x:v>
      </x:c>
      <x:c r="N173" s="21" t="str">
        <x:v>Revisar OCR</x:v>
      </x:c>
      <x:c r="O173" s="21" t="n">
        <x:v>73</x:v>
      </x:c>
      <x:c r="P173" s="21" t="str">
        <x:v>Extraído por OCR del PDF; revisar imagen si el código o texto aparece con dudas.</x:v>
      </x:c>
      <x:c r="Q173" s="21" t="str">
        <x:v>PRDL900-9 PULIDORA ROTO ORBITAL</x:v>
      </x:c>
    </x:row>
    <x:row r="174">
      <x:c r="A174" s="21" t="n">
        <x:v>173</x:v>
      </x:c>
      <x:c r="B174" s="21" t="str">
        <x:v>Estética y Accesorios Automotor</x:v>
      </x:c>
      <x:c r="C174" s="21" t="str">
        <x:v>LA38-8BK</x:v>
      </x:c>
      <x:c r="D174" s="21" t="str">
        <x:v>ASPIRADORA A BATERIA + BATERIA Y CARGADOR (IRON VOLT)</x:v>
      </x:c>
      <x:c r="E174" s="21" t="str">
        <x:v>Producto para cuidado automotor, detailing y mantenimiento. Ideal para limpieza, energía auxiliar y uso de taller.</x:v>
      </x:c>
      <x:c r="F174" s="40" t="n">
        <x:v>95804.78</x:v>
      </x:c>
      <x:c r="G174" s="23" t="n">
        <x:f>IFERROR(VLOOKUP(B174,Configuracion!$A$9:$C$19,2,FALSE),Configuracion!$B$5)</x:f>
        <x:v>0.3</x:v>
      </x:c>
      <x:c r="H174" s="22" t="n">
        <x:f>ROUNDUP(F174*(1+G174)/Configuracion!$B$3,0)*Configuracion!$B$3</x:f>
        <x:v>124600</x:v>
      </x:c>
      <x:c r="I174" s="23" t="n">
        <x:f>IFERROR(VLOOKUP(B174,Configuracion!$A$9:$C$19,3,FALSE),Configuracion!$C$5)</x:f>
        <x:v>0.55</x:v>
      </x:c>
      <x:c r="J174" s="22" t="n">
        <x:f>ROUNDUP(F174*(1+I174)/Configuracion!$B$3,0)*Configuracion!$B$3</x:f>
        <x:v>148500</x:v>
      </x:c>
      <x:c r="K174" s="22" t="n">
        <x:f>ROUNDUP(J174*(1-Configuracion!$B$4)/Configuracion!$B$3,0)*Configuracion!$B$3</x:f>
        <x:v>141100</x:v>
      </x:c>
      <x:c r="L174" s="21" t="str"/>
      <x:c r="M174" s="21" t="str">
        <x:v>Unidad</x:v>
      </x:c>
      <x:c r="N174" s="21" t="str">
        <x:v>Revisar OCR</x:v>
      </x:c>
      <x:c r="O174" s="21" t="n">
        <x:v>74</x:v>
      </x:c>
      <x:c r="P174" s="21" t="str">
        <x:v>Extraído por OCR del PDF; revisar imagen si el código o texto aparece con dudas.</x:v>
      </x:c>
      <x:c r="Q174" s="21" t="str">
        <x:v>LA38-8BK ASPIRADORA A BATERIA + BATERIA Y CARGADOR (IRON VOLT)</x:v>
      </x:c>
    </x:row>
    <x:row r="175">
      <x:c r="A175" s="21" t="n">
        <x:v>174</x:v>
      </x:c>
      <x:c r="B175" s="21" t="str">
        <x:v>Estética y Accesorios Automotor</x:v>
      </x:c>
      <x:c r="C175" s="21" t="str">
        <x:v>LA-1500MM</x:v>
      </x:c>
      <x:c r="D175" s="21" t="str">
        <x:v>ASPIRADORA TANQUE METAL 1000W-15</x:v>
      </x:c>
      <x:c r="E175" s="21" t="str">
        <x:v>Producto para cuidado automotor, detailing y mantenimiento. Ideal para limpieza, energía auxiliar y uso de taller.</x:v>
      </x:c>
      <x:c r="F175" s="40" t="n">
        <x:v>77880</x:v>
      </x:c>
      <x:c r="G175" s="23" t="n">
        <x:f>IFERROR(VLOOKUP(B175,Configuracion!$A$9:$C$19,2,FALSE),Configuracion!$B$5)</x:f>
        <x:v>0.3</x:v>
      </x:c>
      <x:c r="H175" s="22" t="n">
        <x:f>ROUNDUP(F175*(1+G175)/Configuracion!$B$3,0)*Configuracion!$B$3</x:f>
        <x:v>101300</x:v>
      </x:c>
      <x:c r="I175" s="23" t="n">
        <x:f>IFERROR(VLOOKUP(B175,Configuracion!$A$9:$C$19,3,FALSE),Configuracion!$C$5)</x:f>
        <x:v>0.55</x:v>
      </x:c>
      <x:c r="J175" s="22" t="n">
        <x:f>ROUNDUP(F175*(1+I175)/Configuracion!$B$3,0)*Configuracion!$B$3</x:f>
        <x:v>120800</x:v>
      </x:c>
      <x:c r="K175" s="22" t="n">
        <x:f>ROUNDUP(J175*(1-Configuracion!$B$4)/Configuracion!$B$3,0)*Configuracion!$B$3</x:f>
        <x:v>114800</x:v>
      </x:c>
      <x:c r="L175" s="21" t="str"/>
      <x:c r="M175" s="21" t="str">
        <x:v>Unidad</x:v>
      </x:c>
      <x:c r="N175" s="21" t="str">
        <x:v>Revisar OCR</x:v>
      </x:c>
      <x:c r="O175" s="21" t="n">
        <x:v>74</x:v>
      </x:c>
      <x:c r="P175" s="21" t="str">
        <x:v>Extraído por OCR del PDF; revisar imagen si el código o texto aparece con dudas.</x:v>
      </x:c>
      <x:c r="Q175" s="21" t="str">
        <x:v>LA-1500MM // ASPIRADORA TANQUE METAL 1000W-15</x:v>
      </x:c>
    </x:row>
    <x:row r="176">
      <x:c r="A176" s="21" t="n">
        <x:v>175</x:v>
      </x:c>
      <x:c r="B176" s="21" t="str">
        <x:v>Estética y Accesorios Automotor</x:v>
      </x:c>
      <x:c r="C176" s="21" t="str">
        <x:v>SAL3TON-7</x:v>
      </x:c>
      <x:c r="D176" s="21" t="str">
        <x:v>SOPORTE AUTO 3TON</x:v>
      </x:c>
      <x:c r="E176" s="21" t="str">
        <x:v>Producto para cuidado automotor, detailing y mantenimiento. Ideal para limpieza, energía auxiliar y uso de taller.</x:v>
      </x:c>
      <x:c r="F176" s="40" t="n">
        <x:v>45486.44</x:v>
      </x:c>
      <x:c r="G176" s="23" t="n">
        <x:f>IFERROR(VLOOKUP(B176,Configuracion!$A$9:$C$19,2,FALSE),Configuracion!$B$5)</x:f>
        <x:v>0.3</x:v>
      </x:c>
      <x:c r="H176" s="22" t="n">
        <x:f>ROUNDUP(F176*(1+G176)/Configuracion!$B$3,0)*Configuracion!$B$3</x:f>
        <x:v>59200</x:v>
      </x:c>
      <x:c r="I176" s="23" t="n">
        <x:f>IFERROR(VLOOKUP(B176,Configuracion!$A$9:$C$19,3,FALSE),Configuracion!$C$5)</x:f>
        <x:v>0.55</x:v>
      </x:c>
      <x:c r="J176" s="22" t="n">
        <x:f>ROUNDUP(F176*(1+I176)/Configuracion!$B$3,0)*Configuracion!$B$3</x:f>
        <x:v>70600</x:v>
      </x:c>
      <x:c r="K176" s="22" t="n">
        <x:f>ROUNDUP(J176*(1-Configuracion!$B$4)/Configuracion!$B$3,0)*Configuracion!$B$3</x:f>
        <x:v>67100</x:v>
      </x:c>
      <x:c r="L176" s="21" t="str"/>
      <x:c r="M176" s="21" t="str">
        <x:v>Unidad</x:v>
      </x:c>
      <x:c r="N176" s="21" t="str">
        <x:v>OK</x:v>
      </x:c>
      <x:c r="O176" s="21" t="n">
        <x:v>75</x:v>
      </x:c>
      <x:c r="P176" s="21" t="str">
        <x:v>Extraído del PDF.</x:v>
      </x:c>
      <x:c r="Q176" s="21" t="str">
        <x:v>SAL3TON-7 // SOPORTE AUTO 3TON</x:v>
      </x:c>
    </x:row>
    <x:row r="177">
      <x:c r="A177" s="21" t="n">
        <x:v>176</x:v>
      </x:c>
      <x:c r="B177" s="21" t="str">
        <x:v>Y Más Herramientas</x:v>
      </x:c>
      <x:c r="C177" s="21" t="str">
        <x:v>LTF-6308R</x:v>
      </x:c>
      <x:c r="D177" s="21" t="str">
        <x:v>TERMOFUSORA 220V 50HZ 800W</x:v>
      </x:c>
      <x:c r="E177" s="21" t="str">
        <x:v>Herramienta para instalaciones y reparaciones con termofusión. Ideal para plomería, obra y mantenimiento.</x:v>
      </x:c>
      <x:c r="F177" s="40" t="n">
        <x:v>41987.98</x:v>
      </x:c>
      <x:c r="G177" s="23" t="n">
        <x:f>IFERROR(VLOOKUP(B177,Configuracion!$A$9:$C$19,2,FALSE),Configuracion!$B$5)</x:f>
        <x:v>0.25</x:v>
      </x:c>
      <x:c r="H177" s="22" t="n">
        <x:f>ROUNDUP(F177*(1+G177)/Configuracion!$B$3,0)*Configuracion!$B$3</x:f>
        <x:v>52500</x:v>
      </x:c>
      <x:c r="I177" s="23" t="n">
        <x:f>IFERROR(VLOOKUP(B177,Configuracion!$A$9:$C$19,3,FALSE),Configuracion!$C$5)</x:f>
        <x:v>0.45</x:v>
      </x:c>
      <x:c r="J177" s="22" t="n">
        <x:f>ROUNDUP(F177*(1+I177)/Configuracion!$B$3,0)*Configuracion!$B$3</x:f>
        <x:v>60900</x:v>
      </x:c>
      <x:c r="K177" s="22" t="n">
        <x:f>ROUNDUP(J177*(1-Configuracion!$B$4)/Configuracion!$B$3,0)*Configuracion!$B$3</x:f>
        <x:v>57900</x:v>
      </x:c>
      <x:c r="L177" s="21" t="str"/>
      <x:c r="M177" s="21" t="str">
        <x:v>Unidad</x:v>
      </x:c>
      <x:c r="N177" s="21" t="str">
        <x:v>OK</x:v>
      </x:c>
      <x:c r="O177" s="21" t="n">
        <x:v>76</x:v>
      </x:c>
      <x:c r="P177" s="21" t="str">
        <x:v>Extraído del PDF.</x:v>
      </x:c>
      <x:c r="Q177" s="21" t="str">
        <x:v>LTF-6308R - TERMOFUSORA 220V 50HZ 800W</x:v>
      </x:c>
    </x:row>
    <x:row r="178">
      <x:c r="A178" s="21" t="n">
        <x:v>177</x:v>
      </x:c>
      <x:c r="B178" s="21" t="str">
        <x:v>Y Más Herramientas</x:v>
      </x:c>
      <x:c r="C178" s="21" t="str">
        <x:v>N3</x:v>
      </x:c>
      <x:c r="D178" s="21" t="str">
        <x:v>APAREJO ELÉCTRICO 500/1000KG 12M</x:v>
      </x:c>
      <x:c r="E178" s="21" t="str">
        <x:v>Equipo para izaje y movimiento de cargas. Recomendado para taller, obra y tareas de mantenimiento.</x:v>
      </x:c>
      <x:c r="F178" s="40" t="n">
        <x:v>314906.13</x:v>
      </x:c>
      <x:c r="G178" s="23" t="n">
        <x:f>IFERROR(VLOOKUP(B178,Configuracion!$A$9:$C$19,2,FALSE),Configuracion!$B$5)</x:f>
        <x:v>0.25</x:v>
      </x:c>
      <x:c r="H178" s="22" t="n">
        <x:f>ROUNDUP(F178*(1+G178)/Configuracion!$B$3,0)*Configuracion!$B$3</x:f>
        <x:v>393700</x:v>
      </x:c>
      <x:c r="I178" s="23" t="n">
        <x:f>IFERROR(VLOOKUP(B178,Configuracion!$A$9:$C$19,3,FALSE),Configuracion!$C$5)</x:f>
        <x:v>0.45</x:v>
      </x:c>
      <x:c r="J178" s="22" t="n">
        <x:f>ROUNDUP(F178*(1+I178)/Configuracion!$B$3,0)*Configuracion!$B$3</x:f>
        <x:v>456700</x:v>
      </x:c>
      <x:c r="K178" s="22" t="n">
        <x:f>ROUNDUP(J178*(1-Configuracion!$B$4)/Configuracion!$B$3,0)*Configuracion!$B$3</x:f>
        <x:v>433900</x:v>
      </x:c>
      <x:c r="L178" s="21" t="str"/>
      <x:c r="M178" s="21" t="str">
        <x:v>Unidad</x:v>
      </x:c>
      <x:c r="N178" s="21" t="str">
        <x:v>Revisar OCR</x:v>
      </x:c>
      <x:c r="O178" s="21" t="n">
        <x:v>77</x:v>
      </x:c>
      <x:c r="P178" s="21" t="str">
        <x:v>Extraído por OCR del PDF; revisar imagen si el código o texto aparece con dudas.</x:v>
      </x:c>
      <x:c r="Q178" s="21" t="str">
        <x:v>N3 // APAREJO ELÉCTRICO 500/1000KG 12M</x:v>
      </x:c>
    </x:row>
    <x:row r="179">
      <x:c r="A179" s="21" t="n">
        <x:v>178</x:v>
      </x:c>
      <x:c r="B179" s="21" t="str">
        <x:v>Y Más Herramientas</x:v>
      </x:c>
      <x:c r="C179" s="21" t="str">
        <x:v>CCL600-8</x:v>
      </x:c>
      <x:c r="D179" s="21" t="str">
        <x:v>CORTADORA DE CERAMICO 600MM MAXIMO</x:v>
      </x:c>
      <x:c r="E179" s="21" t="str">
        <x:v>Producto orientado a corte, desbaste y terminación. Recomendado para metal, obra y mantenimiento general.</x:v>
      </x:c>
      <x:c r="F179" s="40" t="n">
        <x:v>69979.14</x:v>
      </x:c>
      <x:c r="G179" s="23" t="n">
        <x:f>IFERROR(VLOOKUP(B179,Configuracion!$A$9:$C$19,2,FALSE),Configuracion!$B$5)</x:f>
        <x:v>0.25</x:v>
      </x:c>
      <x:c r="H179" s="22" t="n">
        <x:f>ROUNDUP(F179*(1+G179)/Configuracion!$B$3,0)*Configuracion!$B$3</x:f>
        <x:v>87500</x:v>
      </x:c>
      <x:c r="I179" s="23" t="n">
        <x:f>IFERROR(VLOOKUP(B179,Configuracion!$A$9:$C$19,3,FALSE),Configuracion!$C$5)</x:f>
        <x:v>0.45</x:v>
      </x:c>
      <x:c r="J179" s="22" t="n">
        <x:f>ROUNDUP(F179*(1+I179)/Configuracion!$B$3,0)*Configuracion!$B$3</x:f>
        <x:v>101500</x:v>
      </x:c>
      <x:c r="K179" s="22" t="n">
        <x:f>ROUNDUP(J179*(1-Configuracion!$B$4)/Configuracion!$B$3,0)*Configuracion!$B$3</x:f>
        <x:v>96500</x:v>
      </x:c>
      <x:c r="L179" s="21" t="str"/>
      <x:c r="M179" s="21" t="str">
        <x:v>Unidad</x:v>
      </x:c>
      <x:c r="N179" s="21" t="str">
        <x:v>Revisar OCR</x:v>
      </x:c>
      <x:c r="O179" s="21" t="n">
        <x:v>77</x:v>
      </x:c>
      <x:c r="P179" s="21" t="str">
        <x:v>Extraído por OCR del PDF; revisar imagen si el código o texto aparece con dudas.</x:v>
      </x:c>
      <x:c r="Q179" s="21" t="str">
        <x:v>CCL600-8 // CORTADORA DE CERAMICO 600MM MAXIMO</x:v>
      </x:c>
    </x:row>
    <x:row r="180">
      <x:c r="A180" s="21" t="n">
        <x:v>179</x:v>
      </x:c>
      <x:c r="B180" s="21" t="str">
        <x:v>Y Más Herramientas</x:v>
      </x:c>
      <x:c r="C180" s="21" t="str">
        <x:v>LMP1004</x:v>
      </x:c>
      <x:c r="D180" s="21" t="str">
        <x:v>MORSA 4"</x:v>
      </x:c>
      <x:c r="E180" s="21" t="str">
        <x:v>Elemento de sujeción para banco de trabajo. Ideal para mecánica, herrería y trabajos de precisión.</x:v>
      </x:c>
      <x:c r="F180" s="40" t="n">
        <x:v>137912.5</x:v>
      </x:c>
      <x:c r="G180" s="23" t="n">
        <x:f>IFERROR(VLOOKUP(B180,Configuracion!$A$9:$C$19,2,FALSE),Configuracion!$B$5)</x:f>
        <x:v>0.25</x:v>
      </x:c>
      <x:c r="H180" s="22" t="n">
        <x:f>ROUNDUP(F180*(1+G180)/Configuracion!$B$3,0)*Configuracion!$B$3</x:f>
        <x:v>172400</x:v>
      </x:c>
      <x:c r="I180" s="23" t="n">
        <x:f>IFERROR(VLOOKUP(B180,Configuracion!$A$9:$C$19,3,FALSE),Configuracion!$C$5)</x:f>
        <x:v>0.45</x:v>
      </x:c>
      <x:c r="J180" s="22" t="n">
        <x:f>ROUNDUP(F180*(1+I180)/Configuracion!$B$3,0)*Configuracion!$B$3</x:f>
        <x:v>200000</x:v>
      </x:c>
      <x:c r="K180" s="22" t="n">
        <x:f>ROUNDUP(J180*(1-Configuracion!$B$4)/Configuracion!$B$3,0)*Configuracion!$B$3</x:f>
        <x:v>190000</x:v>
      </x:c>
      <x:c r="L180" s="21" t="str"/>
      <x:c r="M180" s="21" t="str">
        <x:v>Unidad</x:v>
      </x:c>
      <x:c r="N180" s="21" t="str">
        <x:v>OK</x:v>
      </x:c>
      <x:c r="O180" s="21" t="n">
        <x:v>77</x:v>
      </x:c>
      <x:c r="P180" s="21" t="str">
        <x:v>Extraído del PDF.</x:v>
      </x:c>
      <x:c r="Q180" s="21" t="str">
        <x:v>LMP1004 MORSA 4"</x:v>
      </x:c>
    </x:row>
    <x:row r="181">
      <x:c r="A181" s="21" t="n">
        <x:v>180</x:v>
      </x:c>
      <x:c r="B181" s="21" t="str">
        <x:v>Y Más Herramientas</x:v>
      </x:c>
      <x:c r="C181" s="21" t="str">
        <x:v>ACPLI500-9</x:v>
      </x:c>
      <x:c r="D181" s="21" t="str">
        <x:v>ACANALADORA DE PARED</x:v>
      </x:c>
      <x:c r="E181" s="21" t="str">
        <x:v>Herramienta para canaletas y trabajos de instalación. Recomendada para obra, electricidad y mantenimiento.</x:v>
      </x:c>
      <x:c r="F181" s="40" t="n">
        <x:v>268007.5</x:v>
      </x:c>
      <x:c r="G181" s="23" t="n">
        <x:f>IFERROR(VLOOKUP(B181,Configuracion!$A$9:$C$19,2,FALSE),Configuracion!$B$5)</x:f>
        <x:v>0.25</x:v>
      </x:c>
      <x:c r="H181" s="22" t="n">
        <x:f>ROUNDUP(F181*(1+G181)/Configuracion!$B$3,0)*Configuracion!$B$3</x:f>
        <x:v>335100</x:v>
      </x:c>
      <x:c r="I181" s="23" t="n">
        <x:f>IFERROR(VLOOKUP(B181,Configuracion!$A$9:$C$19,3,FALSE),Configuracion!$C$5)</x:f>
        <x:v>0.45</x:v>
      </x:c>
      <x:c r="J181" s="22" t="n">
        <x:f>ROUNDUP(F181*(1+I181)/Configuracion!$B$3,0)*Configuracion!$B$3</x:f>
        <x:v>388700</x:v>
      </x:c>
      <x:c r="K181" s="22" t="n">
        <x:f>ROUNDUP(J181*(1-Configuracion!$B$4)/Configuracion!$B$3,0)*Configuracion!$B$3</x:f>
        <x:v>369300</x:v>
      </x:c>
      <x:c r="L181" s="21" t="str"/>
      <x:c r="M181" s="21" t="str">
        <x:v>Unidad</x:v>
      </x:c>
      <x:c r="N181" s="21" t="str">
        <x:v>OK</x:v>
      </x:c>
      <x:c r="O181" s="21" t="n">
        <x:v>78</x:v>
      </x:c>
      <x:c r="P181" s="21" t="str">
        <x:v>Extraído del PDF.</x:v>
      </x:c>
      <x:c r="Q181" s="21" t="str">
        <x:v>ACPLI500-9 ACANALADORA DE PARED</x:v>
      </x:c>
    </x:row>
    <x:row r="182">
      <x:c r="A182" s="21" t="n">
        <x:v>181</x:v>
      </x:c>
      <x:c r="B182" s="21" t="str">
        <x:v>Y Más Herramientas</x:v>
      </x:c>
      <x:c r="C182" s="21" t="str">
        <x:v>LM420</x:v>
      </x:c>
      <x:c r="D182" s="21" t="str">
        <x:v>MOTOR NAFTERO 15HP 3600 RPM</x:v>
      </x:c>
      <x:c r="E182" s="21" t="str">
        <x:v>Motor naftero para aplicaciones de fuerza y equipos auxiliares. Ideal para mantenimiento y reemplazo.</x:v>
      </x:c>
      <x:c r="F182" s="40" t="n">
        <x:v>506000</x:v>
      </x:c>
      <x:c r="G182" s="23" t="n">
        <x:f>IFERROR(VLOOKUP(B182,Configuracion!$A$9:$C$19,2,FALSE),Configuracion!$B$5)</x:f>
        <x:v>0.25</x:v>
      </x:c>
      <x:c r="H182" s="22" t="n">
        <x:f>ROUNDUP(F182*(1+G182)/Configuracion!$B$3,0)*Configuracion!$B$3</x:f>
        <x:v>632500</x:v>
      </x:c>
      <x:c r="I182" s="23" t="n">
        <x:f>IFERROR(VLOOKUP(B182,Configuracion!$A$9:$C$19,3,FALSE),Configuracion!$C$5)</x:f>
        <x:v>0.45</x:v>
      </x:c>
      <x:c r="J182" s="22" t="n">
        <x:f>ROUNDUP(F182*(1+I182)/Configuracion!$B$3,0)*Configuracion!$B$3</x:f>
        <x:v>733700</x:v>
      </x:c>
      <x:c r="K182" s="22" t="n">
        <x:f>ROUNDUP(J182*(1-Configuracion!$B$4)/Configuracion!$B$3,0)*Configuracion!$B$3</x:f>
        <x:v>697100</x:v>
      </x:c>
      <x:c r="L182" s="21" t="str"/>
      <x:c r="M182" s="21" t="str">
        <x:v>Unidad</x:v>
      </x:c>
      <x:c r="N182" s="21" t="str">
        <x:v>OK</x:v>
      </x:c>
      <x:c r="O182" s="21" t="n">
        <x:v>78</x:v>
      </x:c>
      <x:c r="P182" s="21" t="str">
        <x:v>Extraído del PDF.</x:v>
      </x:c>
      <x:c r="Q182" s="21" t="str">
        <x:v>LM420 // MOTOR NAFTERO 15HP 3600 RPM</x:v>
      </x:c>
    </x:row>
  </x:sheetData>
  <x:conditionalFormatting sqref="N2:N182">
    <x:cfRule type="expression" dxfId="0" priority="1">
      <x:formula>N2="Revisar OCR"</x:formula>
    </x:cfRule>
  </x:conditionalFormatting>
  <x:dataValidations count="2">
    <x:dataValidation type="list" sqref="N2:N182">
      <x:formula1>"OK,Revisar OCR,Sin stock,Pausado"</x:formula1>
    </x:dataValidation>
    <x:dataValidation type="list" sqref="M2:M182">
      <x:formula1>"Unidad,Caja,Kit,Combo,Lote"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5aca67529e46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0" hidden="0" customWidth="1"/>
    <x:col min="4" max="4" width="62" hidden="0" customWidth="1"/>
    <x:col min="5" max="5" width="18" hidden="0" customWidth="1"/>
    <x:col min="6" max="6" width="24" hidden="0" customWidth="1"/>
    <x:col min="7" max="7" width="12" hidden="0" customWidth="1"/>
    <x:col min="8" max="8" width="14" hidden="0" customWidth="1"/>
  </x:cols>
  <x:sheetData>
    <x:row r="1">
      <x:c r="A1" s="38" t="str">
        <x:v>Categoría</x:v>
      </x:c>
      <x:c r="B1" s="38" t="str">
        <x:v>Código</x:v>
      </x:c>
      <x:c r="C1" s="38" t="str">
        <x:v>Producto</x:v>
      </x:c>
      <x:c r="D1" s="38" t="str">
        <x:v>Detalle comercial</x:v>
      </x:c>
      <x:c r="E1" s="38" t="str">
        <x:v>Precio mayorista</x:v>
      </x:c>
      <x:c r="F1" s="38" t="str">
        <x:v>Compra mínima sugerida</x:v>
      </x:c>
      <x:c r="G1" s="38" t="str">
        <x:v>Página PDF</x:v>
      </x:c>
      <x:c r="H1" s="38" t="str">
        <x:v>Estado</x:v>
      </x:c>
    </x:row>
    <x:row r="2">
      <x:c r="A2" s="21" t="str">
        <x:f>Base_Costos!B2</x:f>
        <x:v>Amoladoras y Corte</x:v>
      </x:c>
      <x:c r="B2" s="21" t="str">
        <x:f>Base_Costos!C2</x:f>
        <x:v>AB-550</x:v>
      </x:c>
      <x:c r="C2" s="21" t="str">
        <x:f>Base_Costos!D2</x:f>
        <x:v>AMOLADORA DE BANCO 550W</x:v>
      </x:c>
      <x:c r="D2" s="21" t="str">
        <x:f>Base_Costos!E2</x:f>
        <x:v>Producto orientado a corte, desbaste y terminación. Recomendado para metal, obra y mantenimiento general.</x:v>
      </x:c>
      <x:c r="E2" s="22" t="n">
        <x:f>Base_Costos!H2</x:f>
        <x:v>111600</x:v>
      </x:c>
      <x:c r="F2" s="21" t="str">
        <x:v>1 unidad</x:v>
      </x:c>
      <x:c r="G2" s="21" t="n">
        <x:f>Base_Costos!O2</x:f>
        <x:v>2</x:v>
      </x:c>
      <x:c r="H2" s="21" t="str">
        <x:f>Base_Costos!N2</x:f>
        <x:v>OK</x:v>
      </x:c>
    </x:row>
    <x:row r="3">
      <x:c r="A3" s="21" t="str">
        <x:f>Base_Costos!B3</x:f>
        <x:v>Amoladoras y Corte</x:v>
      </x:c>
      <x:c r="B3" s="21" t="str">
        <x:f>Base_Costos!C3</x:f>
        <x:v>L-820</x:v>
      </x:c>
      <x:c r="C3" s="21" t="str">
        <x:f>Base_Costos!D3</x:f>
        <x:v>AMOLADORA ANGULAR 720w</x:v>
      </x:c>
      <x:c r="D3" s="21" t="str">
        <x:f>Base_Costos!E3</x:f>
        <x:v>Producto orientado a corte, desbaste y terminación. Recomendado para metal, obra y mantenimiento general.</x:v>
      </x:c>
      <x:c r="E3" s="22" t="n">
        <x:f>Base_Costos!H3</x:f>
        <x:v>48700</x:v>
      </x:c>
      <x:c r="F3" s="21" t="str">
        <x:v>1 unidad</x:v>
      </x:c>
      <x:c r="G3" s="21" t="n">
        <x:f>Base_Costos!O3</x:f>
        <x:v>3</x:v>
      </x:c>
      <x:c r="H3" s="21" t="str">
        <x:f>Base_Costos!N3</x:f>
        <x:v>OK</x:v>
      </x:c>
    </x:row>
    <x:row r="4">
      <x:c r="A4" s="21" t="str">
        <x:f>Base_Costos!B4</x:f>
        <x:v>Amoladoras y Corte</x:v>
      </x:c>
      <x:c r="B4" s="21" t="str">
        <x:f>Base_Costos!C4</x:f>
        <x:v>ATG18-7</x:v>
      </x:c>
      <x:c r="C4" s="21" t="str">
        <x:f>Base_Costos!D4</x:f>
        <x:v>SET DE HERRAMIENTAS A BATERÍA 18V (TALADRO + AMOLADORA)</x:v>
      </x:c>
      <x:c r="D4" s="21" t="str">
        <x:f>Base_Costos!E4</x:f>
        <x:v>Equipo de alta rotación para obra, taller y mantenimiento. Ideal para perforación, fijación y trabajos de uso intensivo según el modelo.</x:v>
      </x:c>
      <x:c r="E4" s="22" t="n">
        <x:f>Base_Costos!H4</x:f>
        <x:v>248800</x:v>
      </x:c>
      <x:c r="F4" s="21" t="str">
        <x:v>1 unidad</x:v>
      </x:c>
      <x:c r="G4" s="21" t="n">
        <x:f>Base_Costos!O4</x:f>
        <x:v>3</x:v>
      </x:c>
      <x:c r="H4" s="21" t="str">
        <x:f>Base_Costos!N4</x:f>
        <x:v>Revisar OCR</x:v>
      </x:c>
    </x:row>
    <x:row r="5">
      <x:c r="A5" s="21" t="str">
        <x:f>Base_Costos!B5</x:f>
        <x:v>Amoladoras y Corte</x:v>
      </x:c>
      <x:c r="B5" s="21" t="str">
        <x:f>Base_Costos!C5</x:f>
        <x:v>AML1300B-8</x:v>
      </x:c>
      <x:c r="C5" s="21" t="str">
        <x:f>Base_Costos!D5</x:f>
        <x:v>AMOLADORA ANGULAR 115 MM 1300</x:v>
      </x:c>
      <x:c r="D5" s="21" t="str">
        <x:f>Base_Costos!E5</x:f>
        <x:v>Producto orientado a corte, desbaste y terminación. Recomendado para metal, obra y mantenimiento general.</x:v>
      </x:c>
      <x:c r="E5" s="22" t="n">
        <x:f>Base_Costos!H5</x:f>
        <x:v>87100</x:v>
      </x:c>
      <x:c r="F5" s="21" t="str">
        <x:v>1 unidad</x:v>
      </x:c>
      <x:c r="G5" s="21" t="n">
        <x:f>Base_Costos!O5</x:f>
        <x:v>4</x:v>
      </x:c>
      <x:c r="H5" s="21" t="str">
        <x:f>Base_Costos!N5</x:f>
        <x:v>Revisar OCR</x:v>
      </x:c>
    </x:row>
    <x:row r="6">
      <x:c r="A6" s="21" t="str">
        <x:f>Base_Costos!B6</x:f>
        <x:v>Amoladoras y Corte</x:v>
      </x:c>
      <x:c r="B6" s="21" t="str">
        <x:f>Base_Costos!C6</x:f>
        <x:v>AML2200-8</x:v>
      </x:c>
      <x:c r="C6" s="21" t="str">
        <x:f>Base_Costos!D6</x:f>
        <x:v>AMOLADORA ANGULAR 180MM 2200W LUSQTOFF</x:v>
      </x:c>
      <x:c r="D6" s="21" t="str">
        <x:f>Base_Costos!E6</x:f>
        <x:v>Producto orientado a corte, desbaste y terminación. Recomendado para metal, obra y mantenimiento general.</x:v>
      </x:c>
      <x:c r="E6" s="22" t="n">
        <x:f>Base_Costos!H6</x:f>
        <x:v>233300</x:v>
      </x:c>
      <x:c r="F6" s="21" t="str">
        <x:v>1 unidad</x:v>
      </x:c>
      <x:c r="G6" s="21" t="n">
        <x:f>Base_Costos!O6</x:f>
        <x:v>4</x:v>
      </x:c>
      <x:c r="H6" s="21" t="str">
        <x:f>Base_Costos!N6</x:f>
        <x:v>Revisar OCR</x:v>
      </x:c>
    </x:row>
    <x:row r="7">
      <x:c r="A7" s="21" t="str">
        <x:f>Base_Costos!B7</x:f>
        <x:v>Amoladoras y Corte</x:v>
      </x:c>
      <x:c r="B7" s="21" t="str">
        <x:f>Base_Costos!C7</x:f>
        <x:v>AML850-9</x:v>
      </x:c>
      <x:c r="C7" s="21" t="str">
        <x:f>Base_Costos!D7</x:f>
        <x:v>AMOLADORA ANGULAR 850W</x:v>
      </x:c>
      <x:c r="D7" s="21" t="str">
        <x:f>Base_Costos!E7</x:f>
        <x:v>Producto orientado a corte, desbaste y terminación. Recomendado para metal, obra y mantenimiento general.</x:v>
      </x:c>
      <x:c r="E7" s="22" t="n">
        <x:f>Base_Costos!H7</x:f>
        <x:v>54500</x:v>
      </x:c>
      <x:c r="F7" s="21" t="str">
        <x:v>1 unidad</x:v>
      </x:c>
      <x:c r="G7" s="21" t="n">
        <x:f>Base_Costos!O7</x:f>
        <x:v>4</x:v>
      </x:c>
      <x:c r="H7" s="21" t="str">
        <x:f>Base_Costos!N7</x:f>
        <x:v>Revisar OCR</x:v>
      </x:c>
    </x:row>
    <x:row r="8">
      <x:c r="A8" s="21" t="str">
        <x:f>Base_Costos!B8</x:f>
        <x:v>Taladros / 220V / Batería / Accesorios</x:v>
      </x:c>
      <x:c r="B8" s="21" t="str">
        <x:f>Base_Costos!C8</x:f>
        <x:v>TIL23-8KB</x:v>
      </x:c>
      <x:c r="C8" s="21" t="str">
        <x:f>Base_Costos!D8</x:f>
        <x:v>TALADRO ATORNILLADOR 12v</x:v>
      </x:c>
      <x:c r="D8" s="21" t="str">
        <x:f>Base_Costos!E8</x:f>
        <x:v>Equipo de alta rotación para obra, taller y mantenimiento. Ideal para perforación, fijación y trabajos de uso intensivo según el modelo.</x:v>
      </x:c>
      <x:c r="E8" s="22" t="n">
        <x:f>Base_Costos!H8</x:f>
        <x:v>109300</x:v>
      </x:c>
      <x:c r="F8" s="21" t="str">
        <x:v>1 unidad</x:v>
      </x:c>
      <x:c r="G8" s="21" t="n">
        <x:f>Base_Costos!O8</x:f>
        <x:v>5</x:v>
      </x:c>
      <x:c r="H8" s="21" t="str">
        <x:f>Base_Costos!N8</x:f>
        <x:v>OK</x:v>
      </x:c>
    </x:row>
    <x:row r="9">
      <x:c r="A9" s="21" t="str">
        <x:f>Base_Costos!B9</x:f>
        <x:v>Taladros / 220V / Batería / Accesorios</x:v>
      </x:c>
      <x:c r="B9" s="21" t="str">
        <x:f>Base_Costos!C9</x:f>
        <x:v>TAL12-8A</x:v>
      </x:c>
      <x:c r="C9" s="21" t="str">
        <x:f>Base_Costos!D9</x:f>
        <x:v>taladro atornillador inalámbrico 12 v</x:v>
      </x:c>
      <x:c r="D9" s="21" t="str">
        <x:f>Base_Costos!E9</x:f>
        <x:v>Equipo de alta rotación para obra, taller y mantenimiento. Ideal para perforación, fijación y trabajos de uso intensivo según el modelo.</x:v>
      </x:c>
      <x:c r="E9" s="22" t="n">
        <x:f>Base_Costos!H9</x:f>
        <x:v>111700</x:v>
      </x:c>
      <x:c r="F9" s="21" t="str">
        <x:v>1 unidad</x:v>
      </x:c>
      <x:c r="G9" s="21" t="n">
        <x:f>Base_Costos!O9</x:f>
        <x:v>5</x:v>
      </x:c>
      <x:c r="H9" s="21" t="str">
        <x:f>Base_Costos!N9</x:f>
        <x:v>OK</x:v>
      </x:c>
    </x:row>
    <x:row r="10">
      <x:c r="A10" s="21" t="str">
        <x:f>Base_Costos!B10</x:f>
        <x:v>Taladros / 220V / Batería / Accesorios</x:v>
      </x:c>
      <x:c r="B10" s="21" t="str">
        <x:f>Base_Costos!C10</x:f>
        <x:v>ATL710-8</x:v>
      </x:c>
      <x:c r="C10" s="21" t="str">
        <x:f>Base_Costos!D10</x:f>
        <x:v>ATORNILLADOR CON TOPE</x:v>
      </x:c>
      <x:c r="D10" s="21" t="str">
        <x:f>Base_Costos!E10</x:f>
        <x:v>Equipo de alta rotación para obra, taller y mantenimiento. Ideal para perforación, fijación y trabajos de uso intensivo según el modelo.</x:v>
      </x:c>
      <x:c r="E10" s="22" t="n">
        <x:f>Base_Costos!H10</x:f>
        <x:v>97400</x:v>
      </x:c>
      <x:c r="F10" s="21" t="str">
        <x:v>1 unidad</x:v>
      </x:c>
      <x:c r="G10" s="21" t="n">
        <x:f>Base_Costos!O10</x:f>
        <x:v>6</x:v>
      </x:c>
      <x:c r="H10" s="21" t="str">
        <x:f>Base_Costos!N10</x:f>
        <x:v>Revisar OCR</x:v>
      </x:c>
    </x:row>
    <x:row r="11">
      <x:c r="A11" s="21" t="str">
        <x:f>Base_Costos!B11</x:f>
        <x:v>Taladros / 220V / Batería / Accesorios</x:v>
      </x:c>
      <x:c r="B11" s="21" t="str">
        <x:f>Base_Costos!C11</x:f>
        <x:v>ATL18-9B</x:v>
      </x:c>
      <x:c r="C11" s="21" t="str">
        <x:f>Base_Costos!D11</x:f>
        <x:v>TALADRO 13 MM EN KIT CON 2 BATERIAS, VALIJA Y MECHAS</x:v>
      </x:c>
      <x:c r="D11" s="21" t="str">
        <x:f>Base_Costos!E11</x:f>
        <x:v>Equipo de alta rotación para obra, taller y mantenimiento. Ideal para perforación, fijación y trabajos de uso intensivo según el modelo.</x:v>
      </x:c>
      <x:c r="E11" s="22" t="n">
        <x:f>Base_Costos!H11</x:f>
        <x:v>141200</x:v>
      </x:c>
      <x:c r="F11" s="21" t="str">
        <x:v>1 unidad</x:v>
      </x:c>
      <x:c r="G11" s="21" t="n">
        <x:f>Base_Costos!O11</x:f>
        <x:v>6</x:v>
      </x:c>
      <x:c r="H11" s="21" t="str">
        <x:f>Base_Costos!N11</x:f>
        <x:v>Revisar OCR</x:v>
      </x:c>
    </x:row>
    <x:row r="12">
      <x:c r="A12" s="21" t="str">
        <x:f>Base_Costos!B12</x:f>
        <x:v>Taladros / 220V / Batería / Accesorios</x:v>
      </x:c>
      <x:c r="B12" s="21" t="str">
        <x:f>Base_Costos!C12</x:f>
        <x:v>TIL45-8BK</x:v>
      </x:c>
      <x:c r="C12" s="21" t="str">
        <x:f>Base_Costos!D12</x:f>
        <x:v>TALADRO ATORNILLADOR PERCUTOR BRUSHLESS 13MM A BATERIA</x:v>
      </x:c>
      <x:c r="D12" s="21" t="str">
        <x:f>Base_Costos!E12</x:f>
        <x:v>Equipo de alta rotación para obra, taller y mantenimiento. Ideal para perforación, fijación y trabajos de uso intensivo según el modelo.</x:v>
      </x:c>
      <x:c r="E12" s="22" t="n">
        <x:f>Base_Costos!H12</x:f>
        <x:v>162100</x:v>
      </x:c>
      <x:c r="F12" s="21" t="str">
        <x:v>1 unidad</x:v>
      </x:c>
      <x:c r="G12" s="21" t="n">
        <x:f>Base_Costos!O12</x:f>
        <x:v>6</x:v>
      </x:c>
      <x:c r="H12" s="21" t="str">
        <x:f>Base_Costos!N12</x:f>
        <x:v>Revisar OCR</x:v>
      </x:c>
    </x:row>
    <x:row r="13">
      <x:c r="A13" s="21" t="str">
        <x:f>Base_Costos!B13</x:f>
        <x:v>Taladros / 220V / Batería / Accesorios</x:v>
      </x:c>
      <x:c r="B13" s="21" t="str">
        <x:f>Base_Costos!C13</x:f>
        <x:v>RML850-7</x:v>
      </x:c>
      <x:c r="C13" s="21" t="str">
        <x:f>Base_Costos!D13</x:f>
        <x:v>Rotomartillo 800w</x:v>
      </x:c>
      <x:c r="D13" s="21" t="str">
        <x:f>Base_Costos!E13</x:f>
        <x:v>Equipo de alta rotación para obra, taller y mantenimiento. Ideal para perforación, fijación y trabajos de uso intensivo según el modelo.</x:v>
      </x:c>
      <x:c r="E13" s="22" t="n">
        <x:f>Base_Costos!H13</x:f>
        <x:v>85200</x:v>
      </x:c>
      <x:c r="F13" s="21" t="str">
        <x:v>1 unidad</x:v>
      </x:c>
      <x:c r="G13" s="21" t="n">
        <x:f>Base_Costos!O13</x:f>
        <x:v>7</x:v>
      </x:c>
      <x:c r="H13" s="21" t="str">
        <x:f>Base_Costos!N13</x:f>
        <x:v>OK</x:v>
      </x:c>
    </x:row>
    <x:row r="14">
      <x:c r="A14" s="21" t="str">
        <x:f>Base_Costos!B14</x:f>
        <x:v>Taladros / 220V / Batería / Accesorios</x:v>
      </x:c>
      <x:c r="B14" s="21" t="str">
        <x:f>Base_Costos!C14</x:f>
        <x:v>TAGP12-7A</x:v>
      </x:c>
      <x:c r="C14" s="21" t="str">
        <x:f>Base_Costos!D14</x:f>
        <x:v>TALADRO ATORNILLADOR 12V</x:v>
      </x:c>
      <x:c r="D14" s="21" t="str">
        <x:f>Base_Costos!E14</x:f>
        <x:v>Equipo de alta rotación para obra, taller y mantenimiento. Ideal para perforación, fijación y trabajos de uso intensivo según el modelo.</x:v>
      </x:c>
      <x:c r="E14" s="22" t="n">
        <x:f>Base_Costos!H14</x:f>
        <x:v>97000</x:v>
      </x:c>
      <x:c r="F14" s="21" t="str">
        <x:v>1 unidad</x:v>
      </x:c>
      <x:c r="G14" s="21" t="n">
        <x:f>Base_Costos!O14</x:f>
        <x:v>7</x:v>
      </x:c>
      <x:c r="H14" s="21" t="str">
        <x:f>Base_Costos!N14</x:f>
        <x:v>Revisar OCR</x:v>
      </x:c>
    </x:row>
    <x:row r="15">
      <x:c r="A15" s="21" t="str">
        <x:f>Base_Costos!B15</x:f>
        <x:v>Taladros / 220V / Batería / Accesorios</x:v>
      </x:c>
      <x:c r="B15" s="21" t="str">
        <x:f>Base_Costos!C15</x:f>
        <x:v>L2130</x:v>
      </x:c>
      <x:c r="C15" s="21" t="str">
        <x:f>Base_Costos!D15</x:f>
        <x:v>JUEGO DE BROCAS 25 PCS</x:v>
      </x:c>
      <x:c r="D15" s="21" t="str">
        <x:f>Base_Costos!E15</x:f>
        <x:v>Herramienta o conjunto para organización y trabajo de taller. Producto práctico para mecánica, mantenimiento y uso profesional.</x:v>
      </x:c>
      <x:c r="E15" s="22" t="n">
        <x:f>Base_Costos!H15</x:f>
        <x:v>91500</x:v>
      </x:c>
      <x:c r="F15" s="21" t="str">
        <x:v>1 unidad</x:v>
      </x:c>
      <x:c r="G15" s="21" t="n">
        <x:f>Base_Costos!O15</x:f>
        <x:v>8</x:v>
      </x:c>
      <x:c r="H15" s="21" t="str">
        <x:f>Base_Costos!N15</x:f>
        <x:v>OK</x:v>
      </x:c>
    </x:row>
    <x:row r="16">
      <x:c r="A16" s="21" t="str">
        <x:f>Base_Costos!B16</x:f>
        <x:v>Taladros / 220V / Batería / Accesorios</x:v>
      </x:c>
      <x:c r="B16" s="21" t="str">
        <x:f>Base_Costos!C16</x:f>
        <x:v>RML1050-8</x:v>
      </x:c>
      <x:c r="C16" s="21" t="str">
        <x:f>Base_Costos!D16</x:f>
        <x:v>ROTOMARTILLO 1050 W</x:v>
      </x:c>
      <x:c r="D16" s="21" t="str">
        <x:f>Base_Costos!E16</x:f>
        <x:v>Equipo de alta rotación para obra, taller y mantenimiento. Ideal para perforación, fijación y trabajos de uso intensivo según el modelo.</x:v>
      </x:c>
      <x:c r="E16" s="22" t="n">
        <x:f>Base_Costos!H16</x:f>
        <x:v>151500</x:v>
      </x:c>
      <x:c r="F16" s="21" t="str">
        <x:v>1 unidad</x:v>
      </x:c>
      <x:c r="G16" s="21" t="n">
        <x:f>Base_Costos!O16</x:f>
        <x:v>8</x:v>
      </x:c>
      <x:c r="H16" s="21" t="str">
        <x:f>Base_Costos!N16</x:f>
        <x:v>OK</x:v>
      </x:c>
    </x:row>
    <x:row r="17">
      <x:c r="A17" s="21" t="str">
        <x:f>Base_Costos!B17</x:f>
        <x:v>Taladros / 220V / Batería / Accesorios</x:v>
      </x:c>
      <x:c r="B17" s="21" t="str">
        <x:f>Base_Costos!C17</x:f>
        <x:v>RML4000-9BK</x:v>
      </x:c>
      <x:c r="C17" s="21" t="str">
        <x:f>Base_Costos!D17</x:f>
        <x:v>ROTOMARTILLO INALAMBRICO SDS PLUS 2.5J</x:v>
      </x:c>
      <x:c r="D17" s="21" t="str">
        <x:f>Base_Costos!E17</x:f>
        <x:v>Equipo de alta rotación para obra, taller y mantenimiento. Ideal para perforación, fijación y trabajos de uso intensivo según el modelo.</x:v>
      </x:c>
      <x:c r="E17" s="22" t="n">
        <x:f>Base_Costos!H17</x:f>
        <x:v>168800</x:v>
      </x:c>
      <x:c r="F17" s="21" t="str">
        <x:v>1 unidad</x:v>
      </x:c>
      <x:c r="G17" s="21" t="n">
        <x:f>Base_Costos!O17</x:f>
        <x:v>8</x:v>
      </x:c>
      <x:c r="H17" s="21" t="str">
        <x:f>Base_Costos!N17</x:f>
        <x:v>Revisar OCR</x:v>
      </x:c>
    </x:row>
    <x:row r="18">
      <x:c r="A18" s="21" t="str">
        <x:f>Base_Costos!B18</x:f>
        <x:v>Taladros / 220V / Batería / Accesorios</x:v>
      </x:c>
      <x:c r="B18" s="21" t="str">
        <x:f>Base_Costos!C18</x:f>
        <x:v>JATL82-8</x:v>
      </x:c>
      <x:c r="C18" s="21" t="str">
        <x:f>Base_Costos!D18</x:f>
        <x:v>JUEGO DE ACCESORIOS PARA TALADRO</x:v>
      </x:c>
      <x:c r="D18" s="21" t="str">
        <x:f>Base_Costos!E18</x:f>
        <x:v>Equipo de alta rotación para obra, taller y mantenimiento. Ideal para perforación, fijación y trabajos de uso intensivo según el modelo.</x:v>
      </x:c>
      <x:c r="E18" s="22" t="n">
        <x:f>Base_Costos!H18</x:f>
        <x:v>55200</x:v>
      </x:c>
      <x:c r="F18" s="21" t="str">
        <x:v>1 unidad</x:v>
      </x:c>
      <x:c r="G18" s="21" t="n">
        <x:f>Base_Costos!O18</x:f>
        <x:v>9</x:v>
      </x:c>
      <x:c r="H18" s="21" t="str">
        <x:f>Base_Costos!N18</x:f>
        <x:v>Revisar OCR</x:v>
      </x:c>
    </x:row>
    <x:row r="19">
      <x:c r="A19" s="21" t="str">
        <x:f>Base_Costos!B19</x:f>
        <x:v>Taladros / 220V / Batería / Accesorios</x:v>
      </x:c>
      <x:c r="B19" s="21" t="str">
        <x:f>Base_Costos!C19</x:f>
        <x:v>JMPL100-8</x:v>
      </x:c>
      <x:c r="C19" s="21" t="str">
        <x:f>Base_Costos!D19</x:f>
        <x:v>JUEGO DE MECHAS Y PUNTAS 100 PIEZAS</x:v>
      </x:c>
      <x:c r="D19" s="21" t="str">
        <x:f>Base_Costos!E19</x:f>
        <x:v>Herramienta o conjunto para organización y trabajo de taller. Producto práctico para mecánica, mantenimiento y uso profesional.</x:v>
      </x:c>
      <x:c r="E19" s="22" t="n">
        <x:f>Base_Costos!H19</x:f>
        <x:v>71000</x:v>
      </x:c>
      <x:c r="F19" s="21" t="str">
        <x:v>1 unidad</x:v>
      </x:c>
      <x:c r="G19" s="21" t="n">
        <x:f>Base_Costos!O19</x:f>
        <x:v>9</x:v>
      </x:c>
      <x:c r="H19" s="21" t="str">
        <x:f>Base_Costos!N19</x:f>
        <x:v>OK</x:v>
      </x:c>
    </x:row>
    <x:row r="20">
      <x:c r="A20" s="21" t="str">
        <x:f>Base_Costos!B20</x:f>
        <x:v>Taladros / 220V / Batería / Accesorios</x:v>
      </x:c>
      <x:c r="B20" s="21" t="str">
        <x:f>Base_Costos!C20</x:f>
        <x:v>11047</x:v>
      </x:c>
      <x:c r="C20" s="21" t="str">
        <x:f>Base_Costos!D20</x:f>
        <x:v>JUEGO DE PUNTAS 40 PCS</x:v>
      </x:c>
      <x:c r="D20" s="21" t="str">
        <x:f>Base_Costos!E20</x:f>
        <x:v>Herramienta o conjunto para organización y trabajo de taller. Producto práctico para mecánica, mantenimiento y uso profesional.</x:v>
      </x:c>
      <x:c r="E20" s="22" t="n">
        <x:f>Base_Costos!H20</x:f>
        <x:v>59100</x:v>
      </x:c>
      <x:c r="F20" s="21" t="str">
        <x:v>1 unidad</x:v>
      </x:c>
      <x:c r="G20" s="21" t="n">
        <x:f>Base_Costos!O20</x:f>
        <x:v>9</x:v>
      </x:c>
      <x:c r="H20" s="21" t="str">
        <x:f>Base_Costos!N20</x:f>
        <x:v>OK</x:v>
      </x:c>
    </x:row>
    <x:row r="21">
      <x:c r="A21" s="21" t="str">
        <x:f>Base_Costos!B21</x:f>
        <x:v>Taladros / 220V / Batería / Accesorios</x:v>
      </x:c>
      <x:c r="B21" s="21" t="str">
        <x:f>Base_Costos!C21</x:f>
        <x:v>KATL-8</x:v>
      </x:c>
      <x:c r="C21" s="21" t="str">
        <x:f>Base_Costos!D21</x:f>
        <x:v>KIT AMOLADORA 720W + TALADRO</x:v>
      </x:c>
      <x:c r="D21" s="21" t="str">
        <x:f>Base_Costos!E21</x:f>
        <x:v>Equipo de alta rotación para obra, taller y mantenimiento. Ideal para perforación, fijación y trabajos de uso intensivo según el modelo.</x:v>
      </x:c>
      <x:c r="E21" s="22" t="n">
        <x:f>Base_Costos!H21</x:f>
        <x:v>125800</x:v>
      </x:c>
      <x:c r="F21" s="21" t="str">
        <x:v>1 unidad</x:v>
      </x:c>
      <x:c r="G21" s="21" t="n">
        <x:f>Base_Costos!O21</x:f>
        <x:v>10</x:v>
      </x:c>
      <x:c r="H21" s="21" t="str">
        <x:f>Base_Costos!N21</x:f>
        <x:v>Revisar OCR</x:v>
      </x:c>
    </x:row>
    <x:row r="22">
      <x:c r="A22" s="21" t="str">
        <x:f>Base_Costos!B22</x:f>
        <x:v>Taladros / 220V / Batería / Accesorios</x:v>
      </x:c>
      <x:c r="B22" s="21" t="str">
        <x:f>Base_Costos!C22</x:f>
        <x:v>LH-199BK</x:v>
      </x:c>
      <x:c r="C22" s="21" t="str">
        <x:f>Base_Costos!D22</x:f>
        <x:v>TALADRO ATORNILLADOR INALAMBRICO BRUSHLESS GARDEN PLUS</x:v>
      </x:c>
      <x:c r="D22" s="21" t="str">
        <x:f>Base_Costos!E22</x:f>
        <x:v>Equipo de alta rotación para obra, taller y mantenimiento. Ideal para perforación, fijación y trabajos de uso intensivo según el modelo.</x:v>
      </x:c>
      <x:c r="E22" s="22" t="n">
        <x:f>Base_Costos!H22</x:f>
        <x:v>100000</x:v>
      </x:c>
      <x:c r="F22" s="21" t="str">
        <x:v>1 unidad</x:v>
      </x:c>
      <x:c r="G22" s="21" t="n">
        <x:f>Base_Costos!O22</x:f>
        <x:v>10</x:v>
      </x:c>
      <x:c r="H22" s="21" t="str">
        <x:f>Base_Costos!N22</x:f>
        <x:v>Revisar OCR</x:v>
      </x:c>
    </x:row>
    <x:row r="23">
      <x:c r="A23" s="21" t="str">
        <x:f>Base_Costos!B23</x:f>
        <x:v>Taladros / 220V / Batería / Accesorios</x:v>
      </x:c>
      <x:c r="B23" s="21" t="str">
        <x:f>Base_Costos!C23</x:f>
        <x:v>LIL900-8</x:v>
      </x:c>
      <x:c r="C23" s="21" t="str">
        <x:f>Base_Costos!D23</x:f>
        <x:v>LLAVE DE IMPACTO 900W</x:v>
      </x:c>
      <x:c r="D23" s="21" t="str">
        <x:f>Base_Costos!E23</x:f>
        <x:v>Herramienta o conjunto para organización y trabajo de taller. Producto práctico para mecánica, mantenimiento y uso profesional.</x:v>
      </x:c>
      <x:c r="E23" s="22" t="n">
        <x:f>Base_Costos!H23</x:f>
        <x:v>162300</x:v>
      </x:c>
      <x:c r="F23" s="21" t="str">
        <x:v>1 unidad</x:v>
      </x:c>
      <x:c r="G23" s="21" t="n">
        <x:f>Base_Costos!O23</x:f>
        <x:v>11</x:v>
      </x:c>
      <x:c r="H23" s="21" t="str">
        <x:f>Base_Costos!N23</x:f>
        <x:v>OK</x:v>
      </x:c>
    </x:row>
    <x:row r="24">
      <x:c r="A24" s="21" t="str">
        <x:f>Base_Costos!B24</x:f>
        <x:v>Taladros / 220V / Batería / Accesorios</x:v>
      </x:c>
      <x:c r="B24" s="21" t="str">
        <x:f>Base_Costos!C24</x:f>
        <x:v>LIGP530-78</x:v>
      </x:c>
      <x:c r="C24" s="21" t="str">
        <x:f>Base_Costos!D24</x:f>
        <x:v>LLAVE DE IMPACTO INALAMBRICA</x:v>
      </x:c>
      <x:c r="D24" s="21" t="str">
        <x:f>Base_Costos!E24</x:f>
        <x:v>Herramienta o conjunto para organización y trabajo de taller. Producto práctico para mecánica, mantenimiento y uso profesional.</x:v>
      </x:c>
      <x:c r="E24" s="22" t="n">
        <x:f>Base_Costos!H24</x:f>
        <x:v>201600</x:v>
      </x:c>
      <x:c r="F24" s="21" t="str">
        <x:v>1 unidad</x:v>
      </x:c>
      <x:c r="G24" s="21" t="n">
        <x:f>Base_Costos!O24</x:f>
        <x:v>11</x:v>
      </x:c>
      <x:c r="H24" s="21" t="str">
        <x:f>Base_Costos!N24</x:f>
        <x:v>Revisar OCR</x:v>
      </x:c>
    </x:row>
    <x:row r="25">
      <x:c r="A25" s="21" t="str">
        <x:f>Base_Costos!B25</x:f>
        <x:v>Taladros / 220V / Batería / Accesorios</x:v>
      </x:c>
      <x:c r="B25" s="21" t="str">
        <x:f>Base_Costos!C25</x:f>
        <x:v>LTA750</x:v>
      </x:c>
      <x:c r="C25" s="21" t="str">
        <x:f>Base_Costos!D25</x:f>
        <x:v>TALADRO CON PERCUTOR 750W LUSQTOFF</x:v>
      </x:c>
      <x:c r="D25" s="21" t="str">
        <x:f>Base_Costos!E25</x:f>
        <x:v>Equipo de alta rotación para obra, taller y mantenimiento. Ideal para perforación, fijación y trabajos de uso intensivo según el modelo.</x:v>
      </x:c>
      <x:c r="E25" s="22" t="n">
        <x:f>Base_Costos!H25</x:f>
        <x:v>54800</x:v>
      </x:c>
      <x:c r="F25" s="21" t="str">
        <x:v>1 unidad</x:v>
      </x:c>
      <x:c r="G25" s="21" t="n">
        <x:f>Base_Costos!O25</x:f>
        <x:v>11</x:v>
      </x:c>
      <x:c r="H25" s="21" t="str">
        <x:f>Base_Costos!N25</x:f>
        <x:v>Revisar OCR</x:v>
      </x:c>
    </x:row>
    <x:row r="26">
      <x:c r="A26" s="21" t="str">
        <x:f>Base_Costos!B26</x:f>
        <x:v>Taladros / 220V / Batería / Accesorios</x:v>
      </x:c>
      <x:c r="B26" s="21" t="str">
        <x:f>Base_Costos!C26</x:f>
        <x:v>ADL4-8</x:v>
      </x:c>
      <x:c r="C26" s="21" t="str">
        <x:f>Base_Costos!D26</x:f>
        <x:v>ATORNILLADOR / DESTORNILLADOR INALAMBRICO 4V</x:v>
      </x:c>
      <x:c r="D26" s="21" t="str">
        <x:f>Base_Costos!E26</x:f>
        <x:v>Equipo de alta rotación para obra, taller y mantenimiento. Ideal para perforación, fijación y trabajos de uso intensivo según el modelo.</x:v>
      </x:c>
      <x:c r="E26" s="22" t="n">
        <x:f>Base_Costos!H26</x:f>
        <x:v>65700</x:v>
      </x:c>
      <x:c r="F26" s="21" t="str">
        <x:v>1 unidad</x:v>
      </x:c>
      <x:c r="G26" s="21" t="n">
        <x:f>Base_Costos!O26</x:f>
        <x:v>12</x:v>
      </x:c>
      <x:c r="H26" s="21" t="str">
        <x:f>Base_Costos!N26</x:f>
        <x:v>OK</x:v>
      </x:c>
    </x:row>
    <x:row r="27">
      <x:c r="A27" s="21" t="str">
        <x:f>Base_Costos!B27</x:f>
        <x:v>Taladros / 220V / Batería / Accesorios</x:v>
      </x:c>
      <x:c r="B27" s="21" t="str">
        <x:f>Base_Costos!C27</x:f>
        <x:v>MTL150-9</x:v>
      </x:c>
      <x:c r="C27" s="21" t="str">
        <x:f>Base_Costos!D27</x:f>
        <x:v>MINI TORNO CON ACCESORIOS</x:v>
      </x:c>
      <x:c r="D27" s="21" t="str">
        <x:f>Base_Costos!E27</x:f>
        <x:v>Producto Lusqtoff para uso profesional, taller, hogar o mantenimiento. Consultar disponibilidad y garantía oficial.</x:v>
      </x:c>
      <x:c r="E27" s="22" t="n">
        <x:f>Base_Costos!H27</x:f>
        <x:v>81200</x:v>
      </x:c>
      <x:c r="F27" s="21" t="str">
        <x:v>1 unidad</x:v>
      </x:c>
      <x:c r="G27" s="21" t="n">
        <x:f>Base_Costos!O27</x:f>
        <x:v>12</x:v>
      </x:c>
      <x:c r="H27" s="21" t="str">
        <x:f>Base_Costos!N27</x:f>
        <x:v>OK</x:v>
      </x:c>
    </x:row>
    <x:row r="28">
      <x:c r="A28" s="21" t="str">
        <x:f>Base_Costos!B28</x:f>
        <x:v>Taladros / 220V / Batería / Accesorios</x:v>
      </x:c>
      <x:c r="B28" s="21" t="str">
        <x:f>Base_Costos!C28</x:f>
        <x:v>GP-810</x:v>
      </x:c>
      <x:c r="C28" s="21" t="str">
        <x:f>Base_Costos!D28</x:f>
        <x:v>MARTILLO DEMOLEDOR 220V</x:v>
      </x:c>
      <x:c r="D28" s="21" t="str">
        <x:f>Base_Costos!E28</x:f>
        <x:v>Equipo de alta rotación para obra, taller y mantenimiento. Ideal para perforación, fijación y trabajos de uso intensivo según el modelo.</x:v>
      </x:c>
      <x:c r="E28" s="22" t="n">
        <x:f>Base_Costos!H28</x:f>
        <x:v>142000</x:v>
      </x:c>
      <x:c r="F28" s="21" t="str">
        <x:v>1 unidad</x:v>
      </x:c>
      <x:c r="G28" s="21" t="n">
        <x:f>Base_Costos!O28</x:f>
        <x:v>13</x:v>
      </x:c>
      <x:c r="H28" s="21" t="str">
        <x:f>Base_Costos!N28</x:f>
        <x:v>OK</x:v>
      </x:c>
    </x:row>
    <x:row r="29">
      <x:c r="A29" s="21" t="str">
        <x:f>Base_Costos!B29</x:f>
        <x:v>Taladros / 220V / Batería / Accesorios</x:v>
      </x:c>
      <x:c r="B29" s="21" t="str">
        <x:f>Base_Costos!C29</x:f>
        <x:v>DE-16HEX</x:v>
      </x:c>
      <x:c r="C29" s="21" t="str">
        <x:f>Base_Costos!D29</x:f>
        <x:v>MARTILLO DEMOLEDOR ENCASTRE HEXAGONAL 1700W</x:v>
      </x:c>
      <x:c r="D29" s="21" t="str">
        <x:f>Base_Costos!E29</x:f>
        <x:v>Equipo de alta rotación para obra, taller y mantenimiento. Ideal para perforación, fijación y trabajos de uso intensivo según el modelo.</x:v>
      </x:c>
      <x:c r="E29" s="22" t="n">
        <x:f>Base_Costos!H29</x:f>
        <x:v>322600</x:v>
      </x:c>
      <x:c r="F29" s="21" t="str">
        <x:v>1 unidad</x:v>
      </x:c>
      <x:c r="G29" s="21" t="n">
        <x:f>Base_Costos!O29</x:f>
        <x:v>13</x:v>
      </x:c>
      <x:c r="H29" s="21" t="str">
        <x:f>Base_Costos!N29</x:f>
        <x:v>OK</x:v>
      </x:c>
    </x:row>
    <x:row r="30">
      <x:c r="A30" s="21" t="str">
        <x:f>Base_Costos!B30</x:f>
        <x:v>Set de Herramientas Completos / Individuales</x:v>
      </x:c>
      <x:c r="B30" s="21" t="str">
        <x:f>Base_Costos!C30</x:f>
        <x:v>GHL253-8</x:v>
      </x:c>
      <x:c r="C30" s="21" t="str">
        <x:f>Base_Costos!D30</x:f>
        <x:v>GABINETE RACING 253 PIEZAS LUSQTOFF</x:v>
      </x:c>
      <x:c r="D30" s="21" t="str">
        <x:f>Base_Costos!E30</x:f>
        <x:v>Herramienta o conjunto para organización y trabajo de taller. Producto práctico para mecánica, mantenimiento y uso profesional.</x:v>
      </x:c>
      <x:c r="E30" s="22" t="n">
        <x:f>Base_Costos!H30</x:f>
        <x:v>924200</x:v>
      </x:c>
      <x:c r="F30" s="21" t="str">
        <x:v>1 unidad</x:v>
      </x:c>
      <x:c r="G30" s="21" t="n">
        <x:f>Base_Costos!O30</x:f>
        <x:v>14</x:v>
      </x:c>
      <x:c r="H30" s="21" t="str">
        <x:f>Base_Costos!N30</x:f>
        <x:v>Revisar OCR</x:v>
      </x:c>
    </x:row>
    <x:row r="31">
      <x:c r="A31" s="21" t="str">
        <x:f>Base_Costos!B31</x:f>
        <x:v>Set de Herramientas Completos / Individuales</x:v>
      </x:c>
      <x:c r="B31" s="21" t="str">
        <x:f>Base_Costos!C31</x:f>
        <x:v>LCHP6-8</x:v>
      </x:c>
      <x:c r="C31" s="21" t="str">
        <x:f>Base_Costos!D31</x:f>
        <x:v>CARRO PORTA HERRAMIENTAS ORGANIZADOR</x:v>
      </x:c>
      <x:c r="D31" s="21" t="str">
        <x:f>Base_Costos!E31</x:f>
        <x:v>Herramienta o conjunto para organización y trabajo de taller. Producto práctico para mecánica, mantenimiento y uso profesional.</x:v>
      </x:c>
      <x:c r="E31" s="22" t="n">
        <x:f>Base_Costos!H31</x:f>
        <x:v>585000</x:v>
      </x:c>
      <x:c r="F31" s="21" t="str">
        <x:v>1 unidad</x:v>
      </x:c>
      <x:c r="G31" s="21" t="n">
        <x:f>Base_Costos!O31</x:f>
        <x:v>15</x:v>
      </x:c>
      <x:c r="H31" s="21" t="str">
        <x:f>Base_Costos!N31</x:f>
        <x:v>OK</x:v>
      </x:c>
    </x:row>
    <x:row r="32">
      <x:c r="A32" s="21" t="str">
        <x:f>Base_Costos!B32</x:f>
        <x:v>Set de Herramientas Completos / Individuales</x:v>
      </x:c>
      <x:c r="B32" s="21" t="str">
        <x:f>Base_Costos!C32</x:f>
        <x:v>LB106</x:v>
      </x:c>
      <x:c r="C32" s="21" t="str">
        <x:f>Base_Costos!D32</x:f>
        <x:v>CARRO PORTA HERRAMIENTAS ORGANIZADOR 3 CAJAS</x:v>
      </x:c>
      <x:c r="D32" s="21" t="str">
        <x:f>Base_Costos!E32</x:f>
        <x:v>Herramienta o conjunto para organización y trabajo de taller. Producto práctico para mecánica, mantenimiento y uso profesional.</x:v>
      </x:c>
      <x:c r="E32" s="22" t="n">
        <x:f>Base_Costos!H32</x:f>
        <x:v>267600</x:v>
      </x:c>
      <x:c r="F32" s="21" t="str">
        <x:v>1 unidad</x:v>
      </x:c>
      <x:c r="G32" s="21" t="n">
        <x:f>Base_Costos!O32</x:f>
        <x:v>15</x:v>
      </x:c>
      <x:c r="H32" s="21" t="str">
        <x:f>Base_Costos!N32</x:f>
        <x:v>OK</x:v>
      </x:c>
    </x:row>
    <x:row r="33">
      <x:c r="A33" s="21" t="str">
        <x:f>Base_Costos!B33</x:f>
        <x:v>Set de Herramientas Completos / Individuales</x:v>
      </x:c>
      <x:c r="B33" s="21" t="str">
        <x:f>Base_Costos!C33</x:f>
        <x:v>BTCL7-8</x:v>
      </x:c>
      <x:c r="C33" s="21" t="str">
        <x:f>Base_Costos!D33</x:f>
        <x:v>BANCO DE TRABAJO CONVERTIBLE 7 EN 1</x:v>
      </x:c>
      <x:c r="D33" s="21" t="str">
        <x:f>Base_Costos!E33</x:f>
        <x:v>Herramienta o conjunto para organización y trabajo de taller. Producto práctico para mecánica, mantenimiento y uso profesional.</x:v>
      </x:c>
      <x:c r="E33" s="22" t="n">
        <x:f>Base_Costos!H33</x:f>
        <x:v>396800</x:v>
      </x:c>
      <x:c r="F33" s="21" t="str">
        <x:v>1 unidad</x:v>
      </x:c>
      <x:c r="G33" s="21" t="n">
        <x:f>Base_Costos!O33</x:f>
        <x:v>16</x:v>
      </x:c>
      <x:c r="H33" s="21" t="str">
        <x:f>Base_Costos!N33</x:f>
        <x:v>OK</x:v>
      </x:c>
    </x:row>
    <x:row r="34">
      <x:c r="A34" s="21" t="str">
        <x:f>Base_Costos!B34</x:f>
        <x:v>Set de Herramientas Completos / Individuales</x:v>
      </x:c>
      <x:c r="B34" s="21" t="str">
        <x:f>Base_Costos!C34</x:f>
        <x:v>LQCTI07-8K</x:v>
      </x:c>
      <x:c r="C34" s="21" t="str">
        <x:f>Base_Costos!D34</x:f>
        <x:v>CAJA DE HERRAMIENTAS CON 106 PCS + TAL ADRO PERCUTOR 710W</x:v>
      </x:c>
      <x:c r="D34" s="21" t="str">
        <x:f>Base_Costos!E34</x:f>
        <x:v>Herramienta o conjunto para organización y trabajo de taller. Producto práctico para mecánica, mantenimiento y uso profesional.</x:v>
      </x:c>
      <x:c r="E34" s="22" t="n">
        <x:f>Base_Costos!H34</x:f>
        <x:v>254800</x:v>
      </x:c>
      <x:c r="F34" s="21" t="str">
        <x:v>1 unidad</x:v>
      </x:c>
      <x:c r="G34" s="21" t="n">
        <x:f>Base_Costos!O34</x:f>
        <x:v>16</x:v>
      </x:c>
      <x:c r="H34" s="21" t="str">
        <x:f>Base_Costos!N34</x:f>
        <x:v>OK</x:v>
      </x:c>
    </x:row>
    <x:row r="35">
      <x:c r="A35" s="21" t="str">
        <x:f>Base_Costos!B35</x:f>
        <x:v>Set de Herramientas Completos / Individuales</x:v>
      </x:c>
      <x:c r="B35" s="21" t="str">
        <x:f>Base_Costos!C35</x:f>
        <x:v>BHL3.9</x:v>
      </x:c>
      <x:c r="C35" s="21" t="str">
        <x:f>Base_Costos!D35</x:f>
        <x:v>BANCO PORTAHERRAMIENTAS CON 3</x:v>
      </x:c>
      <x:c r="D35" s="21" t="str">
        <x:f>Base_Costos!E35</x:f>
        <x:v>Herramienta o conjunto para organización y trabajo de taller. Producto práctico para mecánica, mantenimiento y uso profesional.</x:v>
      </x:c>
      <x:c r="E35" s="22" t="n">
        <x:f>Base_Costos!H35</x:f>
        <x:v>238900</x:v>
      </x:c>
      <x:c r="F35" s="21" t="str">
        <x:v>1 unidad</x:v>
      </x:c>
      <x:c r="G35" s="21" t="n">
        <x:f>Base_Costos!O35</x:f>
        <x:v>17</x:v>
      </x:c>
      <x:c r="H35" s="21" t="str">
        <x:f>Base_Costos!N35</x:f>
        <x:v>OK</x:v>
      </x:c>
    </x:row>
    <x:row r="36">
      <x:c r="A36" s="21" t="str">
        <x:f>Base_Costos!B36</x:f>
        <x:v>Set de Herramientas Completos / Individuales</x:v>
      </x:c>
      <x:c r="B36" s="21" t="str">
        <x:f>Base_Costos!C36</x:f>
        <x:v>TC-1350</x:v>
      </x:c>
      <x:c r="C36" s="21" t="str">
        <x:f>Base_Costos!D36</x:f>
        <x:v>MESA PORTA HERRAMIENTAS</x:v>
      </x:c>
      <x:c r="D36" s="21" t="str">
        <x:f>Base_Costos!E36</x:f>
        <x:v>Herramienta o conjunto para organización y trabajo de taller. Producto práctico para mecánica, mantenimiento y uso profesional.</x:v>
      </x:c>
      <x:c r="E36" s="22" t="n">
        <x:f>Base_Costos!H36</x:f>
        <x:v>112000</x:v>
      </x:c>
      <x:c r="F36" s="21" t="str">
        <x:v>1 unidad</x:v>
      </x:c>
      <x:c r="G36" s="21" t="n">
        <x:f>Base_Costos!O36</x:f>
        <x:v>17</x:v>
      </x:c>
      <x:c r="H36" s="21" t="str">
        <x:f>Base_Costos!N36</x:f>
        <x:v>OK</x:v>
      </x:c>
    </x:row>
    <x:row r="37">
      <x:c r="A37" s="21" t="str">
        <x:f>Base_Costos!B37</x:f>
        <x:v>Set de Herramientas Completos / Individuales</x:v>
      </x:c>
      <x:c r="B37" s="21" t="str">
        <x:f>Base_Costos!C37</x:f>
        <x:v>18120</x:v>
      </x:c>
      <x:c r="C37" s="21" t="str">
        <x:f>Base_Costos!D37</x:f>
        <x:v>CAJA DE HERRAMIENTA 23" CIERRE METALICO</x:v>
      </x:c>
      <x:c r="D37" s="21" t="str">
        <x:f>Base_Costos!E37</x:f>
        <x:v>Herramienta o conjunto para organización y trabajo de taller. Producto práctico para mecánica, mantenimiento y uso profesional.</x:v>
      </x:c>
      <x:c r="E37" s="22" t="n">
        <x:f>Base_Costos!H37</x:f>
        <x:v>51600</x:v>
      </x:c>
      <x:c r="F37" s="21" t="str">
        <x:v>1 unidad</x:v>
      </x:c>
      <x:c r="G37" s="21" t="n">
        <x:f>Base_Costos!O37</x:f>
        <x:v>18</x:v>
      </x:c>
      <x:c r="H37" s="21" t="str">
        <x:f>Base_Costos!N37</x:f>
        <x:v>Revisar OCR</x:v>
      </x:c>
    </x:row>
    <x:row r="38">
      <x:c r="A38" s="21" t="str">
        <x:f>Base_Costos!B38</x:f>
        <x:v>Set de Herramientas Completos / Individuales</x:v>
      </x:c>
      <x:c r="B38" s="21" t="str">
        <x:f>Base_Costos!C38</x:f>
        <x:v>L8100</x:v>
      </x:c>
      <x:c r="C38" s="21" t="str">
        <x:f>Base_Costos!D38</x:f>
        <x:v>CAJA DE HERRAMIENTAS 14" CIERRE METALICO</x:v>
      </x:c>
      <x:c r="D38" s="21" t="str">
        <x:f>Base_Costos!E38</x:f>
        <x:v>Herramienta o conjunto para organización y trabajo de taller. Producto práctico para mecánica, mantenimiento y uso profesional.</x:v>
      </x:c>
      <x:c r="E38" s="22" t="n">
        <x:f>Base_Costos!H38</x:f>
        <x:v>18100</x:v>
      </x:c>
      <x:c r="F38" s="21" t="str">
        <x:v>1 unidad</x:v>
      </x:c>
      <x:c r="G38" s="21" t="n">
        <x:f>Base_Costos!O38</x:f>
        <x:v>18</x:v>
      </x:c>
      <x:c r="H38" s="21" t="str">
        <x:f>Base_Costos!N38</x:f>
        <x:v>Revisar OCR</x:v>
      </x:c>
    </x:row>
    <x:row r="39">
      <x:c r="A39" s="21" t="str">
        <x:f>Base_Costos!B39</x:f>
        <x:v>Set de Herramientas Completos / Individuales</x:v>
      </x:c>
      <x:c r="B39" s="21" t="str">
        <x:f>Base_Costos!C39</x:f>
        <x:v>MOCL12-9</x:v>
      </x:c>
      <x:c r="C39" s="21" t="str">
        <x:f>Base_Costos!D39</x:f>
        <x:v>MOCHILA PORTA HERRAMIENTAS</x:v>
      </x:c>
      <x:c r="D39" s="21" t="str">
        <x:f>Base_Costos!E39</x:f>
        <x:v>Herramienta o conjunto para organización y trabajo de taller. Producto práctico para mecánica, mantenimiento y uso profesional.</x:v>
      </x:c>
      <x:c r="E39" s="22" t="n">
        <x:f>Base_Costos!H39</x:f>
        <x:v>72700</x:v>
      </x:c>
      <x:c r="F39" s="21" t="str">
        <x:v>1 unidad</x:v>
      </x:c>
      <x:c r="G39" s="21" t="n">
        <x:f>Base_Costos!O39</x:f>
        <x:v>19</x:v>
      </x:c>
      <x:c r="H39" s="21" t="str">
        <x:f>Base_Costos!N39</x:f>
        <x:v>OK</x:v>
      </x:c>
    </x:row>
    <x:row r="40">
      <x:c r="A40" s="21" t="str">
        <x:f>Base_Costos!B40</x:f>
        <x:v>Set de Herramientas Completos / Individuales</x:v>
      </x:c>
      <x:c r="B40" s="21" t="str">
        <x:f>Base_Costos!C40</x:f>
        <x:v>SHL108-7</x:v>
      </x:c>
      <x:c r="C40" s="21" t="str">
        <x:f>Base_Costos!D40</x:f>
        <x:v>SET 108 PIEZAS GARDEN PLUS</x:v>
      </x:c>
      <x:c r="D40" s="21" t="str">
        <x:f>Base_Costos!E40</x:f>
        <x:v>Herramienta o conjunto para organización y trabajo de taller. Producto práctico para mecánica, mantenimiento y uso profesional.</x:v>
      </x:c>
      <x:c r="E40" s="22" t="n">
        <x:f>Base_Costos!H40</x:f>
        <x:v>114900</x:v>
      </x:c>
      <x:c r="F40" s="21" t="str">
        <x:v>1 unidad</x:v>
      </x:c>
      <x:c r="G40" s="21" t="n">
        <x:f>Base_Costos!O40</x:f>
        <x:v>19</x:v>
      </x:c>
      <x:c r="H40" s="21" t="str">
        <x:f>Base_Costos!N40</x:f>
        <x:v>OK</x:v>
      </x:c>
    </x:row>
    <x:row r="41">
      <x:c r="A41" s="21" t="str">
        <x:f>Base_Costos!B41</x:f>
        <x:v>Set de Herramientas Completos / Individuales</x:v>
      </x:c>
      <x:c r="B41" s="21" t="str">
        <x:f>Base_Costos!C41</x:f>
        <x:v>11032</x:v>
      </x:c>
      <x:c r="C41" s="21" t="str">
        <x:f>Base_Costos!D41</x:f>
        <x:v>SET TERRAJAS Y MACHOS 40 P</x:v>
      </x:c>
      <x:c r="D41" s="21" t="str">
        <x:f>Base_Costos!E41</x:f>
        <x:v>Herramienta o conjunto para organización y trabajo de taller. Producto práctico para mecánica, mantenimiento y uso profesional.</x:v>
      </x:c>
      <x:c r="E41" s="22" t="n">
        <x:f>Base_Costos!H41</x:f>
        <x:v>79000</x:v>
      </x:c>
      <x:c r="F41" s="21" t="str">
        <x:v>1 unidad</x:v>
      </x:c>
      <x:c r="G41" s="21" t="n">
        <x:f>Base_Costos!O41</x:f>
        <x:v>19</x:v>
      </x:c>
      <x:c r="H41" s="21" t="str">
        <x:f>Base_Costos!N41</x:f>
        <x:v>OK</x:v>
      </x:c>
    </x:row>
    <x:row r="42">
      <x:c r="A42" s="21" t="str">
        <x:f>Base_Costos!B42</x:f>
        <x:v>Set de Herramientas Completos / Individuales</x:v>
      </x:c>
      <x:c r="B42" s="21" t="str">
        <x:f>Base_Costos!C42</x:f>
        <x:v>LQCP125</x:v>
      </x:c>
      <x:c r="C42" s="21" t="str">
        <x:f>Base_Costos!D42</x:f>
        <x:v>CAJA DE HERRAMIENTAS PLEGABLE 64 piezas</x:v>
      </x:c>
      <x:c r="D42" s="21" t="str">
        <x:f>Base_Costos!E42</x:f>
        <x:v>Herramienta o conjunto para organización y trabajo de taller. Producto práctico para mecánica, mantenimiento y uso profesional.</x:v>
      </x:c>
      <x:c r="E42" s="22" t="n">
        <x:f>Base_Costos!H42</x:f>
        <x:v>232700</x:v>
      </x:c>
      <x:c r="F42" s="21" t="str">
        <x:v>1 unidad</x:v>
      </x:c>
      <x:c r="G42" s="21" t="n">
        <x:f>Base_Costos!O42</x:f>
        <x:v>20</x:v>
      </x:c>
      <x:c r="H42" s="21" t="str">
        <x:f>Base_Costos!N42</x:f>
        <x:v>OK</x:v>
      </x:c>
    </x:row>
    <x:row r="43">
      <x:c r="A43" s="21" t="str">
        <x:f>Base_Costos!B43</x:f>
        <x:v>Set de Herramientas Completos / Individuales</x:v>
      </x:c>
      <x:c r="B43" s="21" t="str">
        <x:f>Base_Costos!C43</x:f>
        <x:v>11048</x:v>
      </x:c>
      <x:c r="C43" s="21" t="str">
        <x:f>Base_Costos!D43</x:f>
        <x:v>JUEGO DE PUNTAS Y BOCALLAVES 35 PCS</x:v>
      </x:c>
      <x:c r="D43" s="21" t="str">
        <x:f>Base_Costos!E43</x:f>
        <x:v>Herramienta o conjunto para organización y trabajo de taller. Producto práctico para mecánica, mantenimiento y uso profesional.</x:v>
      </x:c>
      <x:c r="E43" s="22" t="n">
        <x:f>Base_Costos!H43</x:f>
        <x:v>68600</x:v>
      </x:c>
      <x:c r="F43" s="21" t="str">
        <x:v>1 unidad</x:v>
      </x:c>
      <x:c r="G43" s="21" t="n">
        <x:f>Base_Costos!O43</x:f>
        <x:v>20</x:v>
      </x:c>
      <x:c r="H43" s="21" t="str">
        <x:f>Base_Costos!N43</x:f>
        <x:v>OK</x:v>
      </x:c>
    </x:row>
    <x:row r="44">
      <x:c r="A44" s="21" t="str">
        <x:f>Base_Costos!B44</x:f>
        <x:v>Set de Herramientas Completos / Individuales</x:v>
      </x:c>
      <x:c r="B44" s="21" t="str">
        <x:f>Base_Costos!C44</x:f>
        <x:v>SHL150-9</x:v>
      </x:c>
      <x:c r="C44" s="21" t="str">
        <x:f>Base_Costos!D44</x:f>
        <x:v>SET RACING LUSQTOFF 150 PIEZAS</x:v>
      </x:c>
      <x:c r="D44" s="21" t="str">
        <x:f>Base_Costos!E44</x:f>
        <x:v>Herramienta o conjunto para organización y trabajo de taller. Producto práctico para mecánica, mantenimiento y uso profesional.</x:v>
      </x:c>
      <x:c r="E44" s="22" t="n">
        <x:f>Base_Costos!H44</x:f>
        <x:v>353100</x:v>
      </x:c>
      <x:c r="F44" s="21" t="str">
        <x:v>1 unidad</x:v>
      </x:c>
      <x:c r="G44" s="21" t="n">
        <x:f>Base_Costos!O44</x:f>
        <x:v>20</x:v>
      </x:c>
      <x:c r="H44" s="21" t="str">
        <x:f>Base_Costos!N44</x:f>
        <x:v>OK</x:v>
      </x:c>
    </x:row>
    <x:row r="45">
      <x:c r="A45" s="21" t="str">
        <x:f>Base_Costos!B45</x:f>
        <x:v>Set de Herramientas Completos / Individuales</x:v>
      </x:c>
      <x:c r="B45" s="21" t="str">
        <x:f>Base_Costos!C45</x:f>
        <x:v>L4906</x:v>
      </x:c>
      <x:c r="C45" s="21" t="str">
        <x:f>Base_Costos!D45</x:f>
        <x:v>JUEGO DE 14 HERRAMIENTAS</x:v>
      </x:c>
      <x:c r="D45" s="21" t="str">
        <x:f>Base_Costos!E45</x:f>
        <x:v>Herramienta o conjunto para organización y trabajo de taller. Producto práctico para mecánica, mantenimiento y uso profesional.</x:v>
      </x:c>
      <x:c r="E45" s="22" t="n">
        <x:f>Base_Costos!H45</x:f>
        <x:v>35400</x:v>
      </x:c>
      <x:c r="F45" s="21" t="str">
        <x:v>1 unidad</x:v>
      </x:c>
      <x:c r="G45" s="21" t="n">
        <x:f>Base_Costos!O45</x:f>
        <x:v>21</x:v>
      </x:c>
      <x:c r="H45" s="21" t="str">
        <x:f>Base_Costos!N45</x:f>
        <x:v>Revisar OCR</x:v>
      </x:c>
    </x:row>
    <x:row r="46">
      <x:c r="A46" s="21" t="str">
        <x:f>Base_Costos!B46</x:f>
        <x:v>Set de Herramientas Completos / Individuales</x:v>
      </x:c>
      <x:c r="B46" s="21" t="str">
        <x:f>Base_Costos!C46</x:f>
        <x:v>L4904</x:v>
      </x:c>
      <x:c r="C46" s="21" t="str">
        <x:f>Base_Costos!D46</x:f>
        <x:v>JUEGO DE 67 HERRAMIENTAS</x:v>
      </x:c>
      <x:c r="D46" s="21" t="str">
        <x:f>Base_Costos!E46</x:f>
        <x:v>Herramienta o conjunto para organización y trabajo de taller. Producto práctico para mecánica, mantenimiento y uso profesional.</x:v>
      </x:c>
      <x:c r="E46" s="22" t="n">
        <x:f>Base_Costos!H46</x:f>
        <x:v>103600</x:v>
      </x:c>
      <x:c r="F46" s="21" t="str">
        <x:v>1 unidad</x:v>
      </x:c>
      <x:c r="G46" s="21" t="n">
        <x:f>Base_Costos!O46</x:f>
        <x:v>21</x:v>
      </x:c>
      <x:c r="H46" s="21" t="str">
        <x:f>Base_Costos!N46</x:f>
        <x:v>Revisar OCR</x:v>
      </x:c>
    </x:row>
    <x:row r="47">
      <x:c r="A47" s="21" t="str">
        <x:f>Base_Costos!B47</x:f>
        <x:v>Set de Herramientas Completos / Individuales</x:v>
      </x:c>
      <x:c r="B47" s="21" t="str">
        <x:f>Base_Costos!C47</x:f>
        <x:v>SHL9-7</x:v>
      </x:c>
      <x:c r="C47" s="21" t="str">
        <x:f>Base_Costos!D47</x:f>
        <x:v>SET 9 PIEZAS</x:v>
      </x:c>
      <x:c r="D47" s="21" t="str">
        <x:f>Base_Costos!E47</x:f>
        <x:v>Herramienta o conjunto para organización y trabajo de taller. Producto práctico para mecánica, mantenimiento y uso profesional.</x:v>
      </x:c>
      <x:c r="E47" s="22" t="n">
        <x:f>Base_Costos!H47</x:f>
        <x:v>43400</x:v>
      </x:c>
      <x:c r="F47" s="21" t="str">
        <x:v>1 unidad</x:v>
      </x:c>
      <x:c r="G47" s="21" t="n">
        <x:f>Base_Costos!O47</x:f>
        <x:v>21</x:v>
      </x:c>
      <x:c r="H47" s="21" t="str">
        <x:f>Base_Costos!N47</x:f>
        <x:v>OK</x:v>
      </x:c>
    </x:row>
    <x:row r="48">
      <x:c r="A48" s="21" t="str">
        <x:f>Base_Costos!B48</x:f>
        <x:v>Set de Herramientas Completos / Individuales</x:v>
      </x:c>
      <x:c r="B48" s="21" t="str">
        <x:f>Base_Costos!C48</x:f>
        <x:v>14950</x:v>
      </x:c>
      <x:c r="C48" s="21" t="str">
        <x:f>Base_Costos!D48</x:f>
        <x:v>CAJA DE HERRAMIENTAS 46PIEZAS</x:v>
      </x:c>
      <x:c r="D48" s="21" t="str">
        <x:f>Base_Costos!E48</x:f>
        <x:v>Herramienta o conjunto para organización y trabajo de taller. Producto práctico para mecánica, mantenimiento y uso profesional.</x:v>
      </x:c>
      <x:c r="E48" s="22" t="n">
        <x:f>Base_Costos!H48</x:f>
        <x:v>71400</x:v>
      </x:c>
      <x:c r="F48" s="21" t="str">
        <x:v>1 unidad</x:v>
      </x:c>
      <x:c r="G48" s="21" t="n">
        <x:f>Base_Costos!O48</x:f>
        <x:v>22</x:v>
      </x:c>
      <x:c r="H48" s="21" t="str">
        <x:f>Base_Costos!N48</x:f>
        <x:v>Revisar OCR</x:v>
      </x:c>
    </x:row>
    <x:row r="49">
      <x:c r="A49" s="21" t="str">
        <x:f>Base_Costos!B49</x:f>
        <x:v>Set de Herramientas Completos / Individuales</x:v>
      </x:c>
      <x:c r="B49" s="21" t="str">
        <x:f>Base_Costos!C49</x:f>
        <x:v>JBL11-8</x:v>
      </x:c>
      <x:c r="C49" s="21" t="str">
        <x:f>Base_Costos!D49</x:f>
        <x:v>JUEGO BOCALLAVES 1/2 11 PZAS</x:v>
      </x:c>
      <x:c r="D49" s="21" t="str">
        <x:f>Base_Costos!E49</x:f>
        <x:v>Herramienta o conjunto para organización y trabajo de taller. Producto práctico para mecánica, mantenimiento y uso profesional.</x:v>
      </x:c>
      <x:c r="E49" s="22" t="n">
        <x:f>Base_Costos!H49</x:f>
        <x:v>49900</x:v>
      </x:c>
      <x:c r="F49" s="21" t="str">
        <x:v>1 unidad</x:v>
      </x:c>
      <x:c r="G49" s="21" t="n">
        <x:f>Base_Costos!O49</x:f>
        <x:v>22</x:v>
      </x:c>
      <x:c r="H49" s="21" t="str">
        <x:f>Base_Costos!N49</x:f>
        <x:v>Revisar OCR</x:v>
      </x:c>
    </x:row>
    <x:row r="50">
      <x:c r="A50" s="21" t="str">
        <x:f>Base_Costos!B50</x:f>
        <x:v>Set de Herramientas Completos / Individuales</x:v>
      </x:c>
      <x:c r="B50" s="21" t="str">
        <x:f>Base_Costos!C50</x:f>
        <x:v>15725</x:v>
      </x:c>
      <x:c r="C50" s="21" t="str">
        <x:f>Base_Costos!D50</x:f>
        <x:v>JUEGO DE BOCALLAVE Y LLAVE CRIQUE 12 PZAS ENCASTRE 1/2</x:v>
      </x:c>
      <x:c r="D50" s="21" t="str">
        <x:f>Base_Costos!E50</x:f>
        <x:v>Herramienta o conjunto para organización y trabajo de taller. Producto práctico para mecánica, mantenimiento y uso profesional.</x:v>
      </x:c>
      <x:c r="E50" s="22" t="n">
        <x:f>Base_Costos!H50</x:f>
        <x:v>49100</x:v>
      </x:c>
      <x:c r="F50" s="21" t="str">
        <x:v>1 unidad</x:v>
      </x:c>
      <x:c r="G50" s="21" t="n">
        <x:f>Base_Costos!O50</x:f>
        <x:v>22</x:v>
      </x:c>
      <x:c r="H50" s="21" t="str">
        <x:f>Base_Costos!N50</x:f>
        <x:v>OK</x:v>
      </x:c>
    </x:row>
    <x:row r="51">
      <x:c r="A51" s="21" t="str">
        <x:f>Base_Costos!B51</x:f>
        <x:v>Set de Herramientas Completos / Individuales</x:v>
      </x:c>
      <x:c r="B51" s="21" t="str">
        <x:f>Base_Costos!C51</x:f>
        <x:v>JLC22-9</x:v>
      </x:c>
      <x:c r="C51" s="21" t="str">
        <x:f>Base_Costos!D51</x:f>
        <x:v>JUEGO DE 22 LLAVES COMBINADAS</x:v>
      </x:c>
      <x:c r="D51" s="21" t="str">
        <x:f>Base_Costos!E51</x:f>
        <x:v>Herramienta o conjunto para organización y trabajo de taller. Producto práctico para mecánica, mantenimiento y uso profesional.</x:v>
      </x:c>
      <x:c r="E51" s="22" t="n">
        <x:f>Base_Costos!H51</x:f>
        <x:v>120500</x:v>
      </x:c>
      <x:c r="F51" s="21" t="str">
        <x:v>1 unidad</x:v>
      </x:c>
      <x:c r="G51" s="21" t="n">
        <x:f>Base_Costos!O51</x:f>
        <x:v>23</x:v>
      </x:c>
      <x:c r="H51" s="21" t="str">
        <x:f>Base_Costos!N51</x:f>
        <x:v>OK</x:v>
      </x:c>
    </x:row>
    <x:row r="52">
      <x:c r="A52" s="21" t="str">
        <x:f>Base_Costos!B52</x:f>
        <x:v>Set de Herramientas Completos / Individuales</x:v>
      </x:c>
      <x:c r="B52" s="21" t="str">
        <x:f>Base_Costos!C52</x:f>
        <x:v>JLC12-9</x:v>
      </x:c>
      <x:c r="C52" s="21" t="str">
        <x:f>Base_Costos!D52</x:f>
        <x:v>JUEGO DE LLAVES COMBINADAS 12 PCS</x:v>
      </x:c>
      <x:c r="D52" s="21" t="str">
        <x:f>Base_Costos!E52</x:f>
        <x:v>Herramienta o conjunto para organización y trabajo de taller. Producto práctico para mecánica, mantenimiento y uso profesional.</x:v>
      </x:c>
      <x:c r="E52" s="22" t="n">
        <x:f>Base_Costos!H52</x:f>
        <x:v>111800</x:v>
      </x:c>
      <x:c r="F52" s="21" t="str">
        <x:v>1 unidad</x:v>
      </x:c>
      <x:c r="G52" s="21" t="n">
        <x:f>Base_Costos!O52</x:f>
        <x:v>23</x:v>
      </x:c>
      <x:c r="H52" s="21" t="str">
        <x:f>Base_Costos!N52</x:f>
        <x:v>OK</x:v>
      </x:c>
    </x:row>
    <x:row r="53">
      <x:c r="A53" s="21" t="str">
        <x:f>Base_Costos!B53</x:f>
        <x:v>Set de Herramientas Completos / Individuales</x:v>
      </x:c>
      <x:c r="B53" s="21" t="str">
        <x:f>Base_Costos!C53</x:f>
        <x:v>JLC9-9</x:v>
      </x:c>
      <x:c r="C53" s="21" t="str">
        <x:f>Base_Costos!D53</x:f>
        <x:v>JUEGO DE LLAVES COMBINADAS CON CRIQUE - 9 PI EZAS</x:v>
      </x:c>
      <x:c r="D53" s="21" t="str">
        <x:f>Base_Costos!E53</x:f>
        <x:v>Herramienta o conjunto para organización y trabajo de taller. Producto práctico para mecánica, mantenimiento y uso profesional.</x:v>
      </x:c>
      <x:c r="E53" s="22" t="n">
        <x:f>Base_Costos!H53</x:f>
        <x:v>90700</x:v>
      </x:c>
      <x:c r="F53" s="21" t="str">
        <x:v>1 unidad</x:v>
      </x:c>
      <x:c r="G53" s="21" t="n">
        <x:f>Base_Costos!O53</x:f>
        <x:v>23</x:v>
      </x:c>
      <x:c r="H53" s="21" t="str">
        <x:f>Base_Costos!N53</x:f>
        <x:v>Revisar OCR</x:v>
      </x:c>
    </x:row>
    <x:row r="54">
      <x:c r="A54" s="21" t="str">
        <x:f>Base_Costos!B54</x:f>
        <x:v>Set de Herramientas Completos / Individuales</x:v>
      </x:c>
      <x:c r="B54" s="21" t="str">
        <x:f>Base_Costos!C54</x:f>
        <x:v>L6908</x:v>
      </x:c>
      <x:c r="C54" s="21" t="str">
        <x:f>Base_Costos!D54</x:f>
        <x:v>JUEGO DE 6 DESTORNILLADORES PASANTES</x:v>
      </x:c>
      <x:c r="D54" s="21" t="str">
        <x:f>Base_Costos!E54</x:f>
        <x:v>Herramienta o conjunto para organización y trabajo de taller. Producto práctico para mecánica, mantenimiento y uso profesional.</x:v>
      </x:c>
      <x:c r="E54" s="22" t="n">
        <x:f>Base_Costos!H54</x:f>
        <x:v>20100</x:v>
      </x:c>
      <x:c r="F54" s="21" t="str">
        <x:v>1 unidad</x:v>
      </x:c>
      <x:c r="G54" s="21" t="n">
        <x:f>Base_Costos!O54</x:f>
        <x:v>24</x:v>
      </x:c>
      <x:c r="H54" s="21" t="str">
        <x:f>Base_Costos!N54</x:f>
        <x:v>OK</x:v>
      </x:c>
    </x:row>
    <x:row r="55">
      <x:c r="A55" s="21" t="str">
        <x:f>Base_Costos!B55</x:f>
        <x:v>Set de Herramientas Completos / Individuales</x:v>
      </x:c>
      <x:c r="B55" s="21" t="str">
        <x:f>Base_Costos!C55</x:f>
        <x:v>16028</x:v>
      </x:c>
      <x:c r="C55" s="21" t="str">
        <x:f>Base_Costos!D55</x:f>
        <x:v>SET DESTORNILLADORES 10 PCS</x:v>
      </x:c>
      <x:c r="D55" s="21" t="str">
        <x:f>Base_Costos!E55</x:f>
        <x:v>Herramienta o conjunto para organización y trabajo de taller. Producto práctico para mecánica, mantenimiento y uso profesional.</x:v>
      </x:c>
      <x:c r="E55" s="22" t="n">
        <x:f>Base_Costos!H55</x:f>
        <x:v>17900</x:v>
      </x:c>
      <x:c r="F55" s="21" t="str">
        <x:v>1 unidad</x:v>
      </x:c>
      <x:c r="G55" s="21" t="n">
        <x:f>Base_Costos!O55</x:f>
        <x:v>24</x:v>
      </x:c>
      <x:c r="H55" s="21" t="str">
        <x:f>Base_Costos!N55</x:f>
        <x:v>OK</x:v>
      </x:c>
    </x:row>
    <x:row r="56">
      <x:c r="A56" s="21" t="str">
        <x:f>Base_Costos!B56</x:f>
        <x:v>Set de Herramientas Completos / Individuales</x:v>
      </x:c>
      <x:c r="B56" s="21" t="str">
        <x:f>Base_Costos!C56</x:f>
        <x:v>L6025</x:v>
      </x:c>
      <x:c r="C56" s="21" t="str">
        <x:f>Base_Costos!D56</x:f>
        <x:v>SET DESTORNILLADORES 18 PCS</x:v>
      </x:c>
      <x:c r="D56" s="21" t="str">
        <x:f>Base_Costos!E56</x:f>
        <x:v>Herramienta o conjunto para organización y trabajo de taller. Producto práctico para mecánica, mantenimiento y uso profesional.</x:v>
      </x:c>
      <x:c r="E56" s="22" t="n">
        <x:f>Base_Costos!H56</x:f>
        <x:v>26800</x:v>
      </x:c>
      <x:c r="F56" s="21" t="str">
        <x:v>1 unidad</x:v>
      </x:c>
      <x:c r="G56" s="21" t="n">
        <x:f>Base_Costos!O56</x:f>
        <x:v>24</x:v>
      </x:c>
      <x:c r="H56" s="21" t="str">
        <x:f>Base_Costos!N56</x:f>
        <x:v>OK</x:v>
      </x:c>
    </x:row>
    <x:row r="57">
      <x:c r="A57" s="21" t="str">
        <x:f>Base_Costos!B57</x:f>
        <x:v>Set de Herramientas Completos / Individuales</x:v>
      </x:c>
      <x:c r="B57" s="21" t="str">
        <x:f>Base_Costos!C57</x:f>
        <x:v>L6914</x:v>
      </x:c>
      <x:c r="C57" s="21" t="str">
        <x:f>Base_Costos!D57</x:f>
        <x:v>JUEGO DE 6 DESTORNILLADORES TORX</x:v>
      </x:c>
      <x:c r="D57" s="21" t="str">
        <x:f>Base_Costos!E57</x:f>
        <x:v>Herramienta o conjunto para organización y trabajo de taller. Producto práctico para mecánica, mantenimiento y uso profesional.</x:v>
      </x:c>
      <x:c r="E57" s="22" t="n">
        <x:f>Base_Costos!H57</x:f>
        <x:v>19000</x:v>
      </x:c>
      <x:c r="F57" s="21" t="str">
        <x:v>1 unidad</x:v>
      </x:c>
      <x:c r="G57" s="21" t="n">
        <x:f>Base_Costos!O57</x:f>
        <x:v>25</x:v>
      </x:c>
      <x:c r="H57" s="21" t="str">
        <x:f>Base_Costos!N57</x:f>
        <x:v>Revisar OCR</x:v>
      </x:c>
    </x:row>
    <x:row r="58">
      <x:c r="A58" s="21" t="str">
        <x:f>Base_Costos!B58</x:f>
        <x:v>Set de Herramientas Completos / Individuales</x:v>
      </x:c>
      <x:c r="B58" s="21" t="str">
        <x:f>Base_Costos!C58</x:f>
        <x:v>11023</x:v>
      </x:c>
      <x:c r="C58" s="21" t="str">
        <x:f>Base_Costos!D58</x:f>
        <x:v>SACA FILTROS A FLEJE 73/85MM</x:v>
      </x:c>
      <x:c r="D58" s="21" t="str">
        <x:f>Base_Costos!E58</x:f>
        <x:v>Producto Lusqtoff para uso profesional, taller, hogar o mantenimiento. Consultar disponibilidad y garantía oficial.</x:v>
      </x:c>
      <x:c r="E58" s="22" t="n">
        <x:f>Base_Costos!H58</x:f>
        <x:v>8400</x:v>
      </x:c>
      <x:c r="F58" s="21" t="str">
        <x:v>1 unidad</x:v>
      </x:c>
      <x:c r="G58" s="21" t="n">
        <x:f>Base_Costos!O58</x:f>
        <x:v>25</x:v>
      </x:c>
      <x:c r="H58" s="21" t="str">
        <x:f>Base_Costos!N58</x:f>
        <x:v>Revisar OCR</x:v>
      </x:c>
    </x:row>
    <x:row r="59">
      <x:c r="A59" s="21" t="str">
        <x:f>Base_Costos!B59</x:f>
        <x:v>Set de Herramientas Completos / Individuales</x:v>
      </x:c>
      <x:c r="B59" s="21" t="str">
        <x:f>Base_Costos!C59</x:f>
        <x:v>L1024</x:v>
      </x:c>
      <x:c r="C59" s="21" t="str">
        <x:f>Base_Costos!D59</x:f>
        <x:v>SACA FILTROS A FLEJE 85/95MM</x:v>
      </x:c>
      <x:c r="D59" s="21" t="str">
        <x:f>Base_Costos!E59</x:f>
        <x:v>Producto Lusqtoff para uso profesional, taller, hogar o mantenimiento. Consultar disponibilidad y garantía oficial.</x:v>
      </x:c>
      <x:c r="E59" s="22" t="n">
        <x:f>Base_Costos!H59</x:f>
        <x:v>9400</x:v>
      </x:c>
      <x:c r="F59" s="21" t="str">
        <x:v>1 unidad</x:v>
      </x:c>
      <x:c r="G59" s="21" t="n">
        <x:f>Base_Costos!O59</x:f>
        <x:v>25</x:v>
      </x:c>
      <x:c r="H59" s="21" t="str">
        <x:f>Base_Costos!N59</x:f>
        <x:v>OK</x:v>
      </x:c>
    </x:row>
    <x:row r="60">
      <x:c r="A60" s="21" t="str">
        <x:f>Base_Costos!B60</x:f>
        <x:v>Set de Herramientas Completos / Individuales</x:v>
      </x:c>
      <x:c r="B60" s="21" t="str">
        <x:f>Base_Costos!C60</x:f>
        <x:v>L3406</x:v>
      </x:c>
      <x:c r="C60" s="21" t="str">
        <x:f>Base_Costos!D60</x:f>
        <x:v>LLAVE PARA CANO 3"</x:v>
      </x:c>
      <x:c r="D60" s="21" t="str">
        <x:f>Base_Costos!E60</x:f>
        <x:v>Herramienta o conjunto para organización y trabajo de taller. Producto práctico para mecánica, mantenimiento y uso profesional.</x:v>
      </x:c>
      <x:c r="E60" s="22" t="n">
        <x:f>Base_Costos!H60</x:f>
        <x:v>62500</x:v>
      </x:c>
      <x:c r="F60" s="21" t="str">
        <x:v>1 unidad</x:v>
      </x:c>
      <x:c r="G60" s="21" t="n">
        <x:f>Base_Costos!O60</x:f>
        <x:v>26</x:v>
      </x:c>
      <x:c r="H60" s="21" t="str">
        <x:f>Base_Costos!N60</x:f>
        <x:v>Revisar OCR</x:v>
      </x:c>
    </x:row>
    <x:row r="61">
      <x:c r="A61" s="21" t="str">
        <x:f>Base_Costos!B61</x:f>
        <x:v>Set de Herramientas Completos / Individuales</x:v>
      </x:c>
      <x:c r="B61" s="21" t="str">
        <x:f>Base_Costos!C61</x:f>
        <x:v>L4274</x:v>
      </x:c>
      <x:c r="C61" s="21" t="str">
        <x:f>Base_Costos!D61</x:f>
        <x:v>PINZA PICO DE LORO 12” 300mm PRO</x:v>
      </x:c>
      <x:c r="D61" s="21" t="str">
        <x:f>Base_Costos!E61</x:f>
        <x:v>Herramienta o conjunto para organización y trabajo de taller. Producto práctico para mecánica, mantenimiento y uso profesional.</x:v>
      </x:c>
      <x:c r="E61" s="22" t="n">
        <x:f>Base_Costos!H61</x:f>
        <x:v>15700</x:v>
      </x:c>
      <x:c r="F61" s="21" t="str">
        <x:v>1 unidad</x:v>
      </x:c>
      <x:c r="G61" s="21" t="n">
        <x:f>Base_Costos!O61</x:f>
        <x:v>26</x:v>
      </x:c>
      <x:c r="H61" s="21" t="str">
        <x:f>Base_Costos!N61</x:f>
        <x:v>Revisar OCR</x:v>
      </x:c>
    </x:row>
    <x:row r="62">
      <x:c r="A62" s="21" t="str">
        <x:f>Base_Costos!B62</x:f>
        <x:v>Set de Herramientas Completos / Individuales</x:v>
      </x:c>
      <x:c r="B62" s="21" t="str">
        <x:f>Base_Costos!C62</x:f>
        <x:v>L4010</x:v>
      </x:c>
      <x:c r="C62" s="21" t="str">
        <x:f>Base_Costos!D62</x:f>
        <x:v>PINZA UNIVERSAL 8” (200mm)</x:v>
      </x:c>
      <x:c r="D62" s="21" t="str">
        <x:f>Base_Costos!E62</x:f>
        <x:v>Herramienta o conjunto para organización y trabajo de taller. Producto práctico para mecánica, mantenimiento y uso profesional.</x:v>
      </x:c>
      <x:c r="E62" s="22" t="n">
        <x:f>Base_Costos!H62</x:f>
        <x:v>9900</x:v>
      </x:c>
      <x:c r="F62" s="21" t="str">
        <x:v>1 unidad</x:v>
      </x:c>
      <x:c r="G62" s="21" t="n">
        <x:f>Base_Costos!O62</x:f>
        <x:v>26</x:v>
      </x:c>
      <x:c r="H62" s="21" t="str">
        <x:f>Base_Costos!N62</x:f>
        <x:v>OK</x:v>
      </x:c>
    </x:row>
    <x:row r="63">
      <x:c r="A63" s="21" t="str">
        <x:f>Base_Costos!B63</x:f>
        <x:v>Set de Herramientas Completos / Individuales</x:v>
      </x:c>
      <x:c r="B63" s="21" t="str">
        <x:f>Base_Costos!C63</x:f>
        <x:v>4024</x:v>
      </x:c>
      <x:c r="C63" s="21" t="str">
        <x:f>Base_Costos!D63</x:f>
        <x:v>ALICATE CORTE OBLICUO CUERDA DE PIANO 7” (18 Omm)</x:v>
      </x:c>
      <x:c r="D63" s="21" t="str">
        <x:f>Base_Costos!E63</x:f>
        <x:v>Producto orientado a corte, desbaste y terminación. Recomendado para metal, obra y mantenimiento general.</x:v>
      </x:c>
      <x:c r="E63" s="22" t="n">
        <x:f>Base_Costos!H63</x:f>
        <x:v>11900</x:v>
      </x:c>
      <x:c r="F63" s="21" t="str">
        <x:v>1 unidad</x:v>
      </x:c>
      <x:c r="G63" s="21" t="n">
        <x:f>Base_Costos!O63</x:f>
        <x:v>27</x:v>
      </x:c>
      <x:c r="H63" s="21" t="str">
        <x:f>Base_Costos!N63</x:f>
        <x:v>Revisar OCR</x:v>
      </x:c>
    </x:row>
    <x:row r="64">
      <x:c r="A64" s="21" t="str">
        <x:f>Base_Costos!B64</x:f>
        <x:v>Set de Herramientas Completos / Individuales</x:v>
      </x:c>
      <x:c r="B64" s="21" t="str">
        <x:f>Base_Costos!C64</x:f>
        <x:v>14032</x:v>
      </x:c>
      <x:c r="C64" s="21" t="str">
        <x:f>Base_Costos!D64</x:f>
        <x:v>PINZA DE PUNTA MEDIA CAÑA 8” (200mm)</x:v>
      </x:c>
      <x:c r="D64" s="21" t="str">
        <x:f>Base_Costos!E64</x:f>
        <x:v>Herramienta o conjunto para organización y trabajo de taller. Producto práctico para mecánica, mantenimiento y uso profesional.</x:v>
      </x:c>
      <x:c r="E64" s="22" t="n">
        <x:f>Base_Costos!H64</x:f>
        <x:v>8300</x:v>
      </x:c>
      <x:c r="F64" s="21" t="str">
        <x:v>1 unidad</x:v>
      </x:c>
      <x:c r="G64" s="21" t="n">
        <x:f>Base_Costos!O64</x:f>
        <x:v>27</x:v>
      </x:c>
      <x:c r="H64" s="21" t="str">
        <x:f>Base_Costos!N64</x:f>
        <x:v>Revisar OCR</x:v>
      </x:c>
    </x:row>
    <x:row r="65">
      <x:c r="A65" s="21" t="str">
        <x:f>Base_Costos!B65</x:f>
        <x:v>Set de Herramientas Completos / Individuales</x:v>
      </x:c>
      <x:c r="B65" s="21" t="str">
        <x:f>Base_Costos!C65</x:f>
        <x:v>14070</x:v>
      </x:c>
      <x:c r="C65" s="21" t="str">
        <x:f>Base_Costos!D65</x:f>
        <x:v>PINZA SACABOCADO 9” (230mm)</x:v>
      </x:c>
      <x:c r="D65" s="21" t="str">
        <x:f>Base_Costos!E65</x:f>
        <x:v>Herramienta o conjunto para organización y trabajo de taller. Producto práctico para mecánica, mantenimiento y uso profesional.</x:v>
      </x:c>
      <x:c r="E65" s="22" t="n">
        <x:f>Base_Costos!H65</x:f>
        <x:v>21000</x:v>
      </x:c>
      <x:c r="F65" s="21" t="str">
        <x:v>1 unidad</x:v>
      </x:c>
      <x:c r="G65" s="21" t="n">
        <x:f>Base_Costos!O65</x:f>
        <x:v>27</x:v>
      </x:c>
      <x:c r="H65" s="21" t="str">
        <x:f>Base_Costos!N65</x:f>
        <x:v>Revisar OCR</x:v>
      </x:c>
    </x:row>
    <x:row r="66">
      <x:c r="A66" s="21" t="str">
        <x:f>Base_Costos!B66</x:f>
        <x:v>Set de Herramientas Completos / Individuales</x:v>
      </x:c>
      <x:c r="B66" s="21" t="str">
        <x:f>Base_Costos!C66</x:f>
        <x:v>L4100</x:v>
      </x:c>
      <x:c r="C66" s="21" t="str">
        <x:f>Base_Costos!D66</x:f>
        <x:v>JUEGO DE 3 PINZAS</x:v>
      </x:c>
      <x:c r="D66" s="21" t="str">
        <x:f>Base_Costos!E66</x:f>
        <x:v>Herramienta o conjunto para organización y trabajo de taller. Producto práctico para mecánica, mantenimiento y uso profesional.</x:v>
      </x:c>
      <x:c r="E66" s="22" t="n">
        <x:f>Base_Costos!H66</x:f>
        <x:v>22400</x:v>
      </x:c>
      <x:c r="F66" s="21" t="str">
        <x:v>1 unidad</x:v>
      </x:c>
      <x:c r="G66" s="21" t="n">
        <x:f>Base_Costos!O66</x:f>
        <x:v>28</x:v>
      </x:c>
      <x:c r="H66" s="21" t="str">
        <x:f>Base_Costos!N66</x:f>
        <x:v>OK</x:v>
      </x:c>
    </x:row>
    <x:row r="67">
      <x:c r="A67" s="21" t="str">
        <x:f>Base_Costos!B67</x:f>
        <x:v>Set de Herramientas Completos / Individuales</x:v>
      </x:c>
      <x:c r="B67" s="21" t="str">
        <x:f>Base_Costos!C67</x:f>
        <x:v>14244</x:v>
      </x:c>
      <x:c r="C67" s="21" t="str">
        <x:f>Base_Costos!D67</x:f>
        <x:v>PINZA UNIVERSAL 8” 200mm AISLACION 1000v</x:v>
      </x:c>
      <x:c r="D67" s="21" t="str">
        <x:f>Base_Costos!E67</x:f>
        <x:v>Herramienta o conjunto para organización y trabajo de taller. Producto práctico para mecánica, mantenimiento y uso profesional.</x:v>
      </x:c>
      <x:c r="E67" s="22" t="n">
        <x:f>Base_Costos!H67</x:f>
        <x:v>19600</x:v>
      </x:c>
      <x:c r="F67" s="21" t="str">
        <x:v>1 unidad</x:v>
      </x:c>
      <x:c r="G67" s="21" t="n">
        <x:f>Base_Costos!O67</x:f>
        <x:v>28</x:v>
      </x:c>
      <x:c r="H67" s="21" t="str">
        <x:f>Base_Costos!N67</x:f>
        <x:v>Revisar OCR</x:v>
      </x:c>
    </x:row>
    <x:row r="68">
      <x:c r="A68" s="21" t="str">
        <x:f>Base_Costos!B68</x:f>
        <x:v>Set de Herramientas Completos / Individuales</x:v>
      </x:c>
      <x:c r="B68" s="21" t="str">
        <x:f>Base_Costos!C68</x:f>
        <x:v>L4078</x:v>
      </x:c>
      <x:c r="C68" s="21" t="str">
        <x:f>Base_Costos!D68</x:f>
        <x:v>TENAZA CARPINTERO 8” 180mm</x:v>
      </x:c>
      <x:c r="D68" s="21" t="str">
        <x:f>Base_Costos!E68</x:f>
        <x:v>Herramienta para carpintería, corte, lijado y terminación en madera. Recomendada para trabajos precisos y terminación prolija.</x:v>
      </x:c>
      <x:c r="E68" s="22" t="n">
        <x:f>Base_Costos!H68</x:f>
        <x:v>8800</x:v>
      </x:c>
      <x:c r="F68" s="21" t="str">
        <x:v>1 unidad</x:v>
      </x:c>
      <x:c r="G68" s="21" t="n">
        <x:f>Base_Costos!O68</x:f>
        <x:v>28</x:v>
      </x:c>
      <x:c r="H68" s="21" t="str">
        <x:f>Base_Costos!N68</x:f>
        <x:v>Revisar OCR</x:v>
      </x:c>
    </x:row>
    <x:row r="69">
      <x:c r="A69" s="21" t="str">
        <x:f>Base_Costos!B69</x:f>
        <x:v>Set de Herramientas Completos / Individuales</x:v>
      </x:c>
      <x:c r="B69" s="21" t="str">
        <x:f>Base_Costos!C69</x:f>
        <x:v>14260</x:v>
      </x:c>
      <x:c r="C69" s="21" t="str">
        <x:f>Base_Costos!D69</x:f>
        <x:v>ALICATE CORTE OBLICUO 6” 150mm AISLACION 1000V</x:v>
      </x:c>
      <x:c r="D69" s="21" t="str">
        <x:f>Base_Costos!E69</x:f>
        <x:v>Producto orientado a corte, desbaste y terminación. Recomendado para metal, obra y mantenimiento general.</x:v>
      </x:c>
      <x:c r="E69" s="22" t="n">
        <x:f>Base_Costos!H69</x:f>
        <x:v>18000</x:v>
      </x:c>
      <x:c r="F69" s="21" t="str">
        <x:v>1 unidad</x:v>
      </x:c>
      <x:c r="G69" s="21" t="n">
        <x:f>Base_Costos!O69</x:f>
        <x:v>29</x:v>
      </x:c>
      <x:c r="H69" s="21" t="str">
        <x:f>Base_Costos!N69</x:f>
        <x:v>Revisar OCR</x:v>
      </x:c>
    </x:row>
    <x:row r="70">
      <x:c r="A70" s="21" t="str">
        <x:f>Base_Costos!B70</x:f>
        <x:v>Set de Herramientas Completos / Individuales</x:v>
      </x:c>
      <x:c r="B70" s="21" t="str">
        <x:f>Base_Costos!C70</x:f>
        <x:v>14248</x:v>
      </x:c>
      <x:c r="C70" s="21" t="str">
        <x:f>Base_Costos!D70</x:f>
        <x:v>PINZA DE PUNTA MEDIA CAÑA 6” 150mm AISLACION 1000v</x:v>
      </x:c>
      <x:c r="D70" s="21" t="str">
        <x:f>Base_Costos!E70</x:f>
        <x:v>Herramienta o conjunto para organización y trabajo de taller. Producto práctico para mecánica, mantenimiento y uso profesional.</x:v>
      </x:c>
      <x:c r="E70" s="22" t="n">
        <x:f>Base_Costos!H70</x:f>
        <x:v>15200</x:v>
      </x:c>
      <x:c r="F70" s="21" t="str">
        <x:v>1 unidad</x:v>
      </x:c>
      <x:c r="G70" s="21" t="n">
        <x:f>Base_Costos!O70</x:f>
        <x:v>29</x:v>
      </x:c>
      <x:c r="H70" s="21" t="str">
        <x:f>Base_Costos!N70</x:f>
        <x:v>Revisar OCR</x:v>
      </x:c>
    </x:row>
    <x:row r="71">
      <x:c r="A71" s="21" t="str">
        <x:f>Base_Costos!B71</x:f>
        <x:v>Set de Herramientas Completos / Individuales</x:v>
      </x:c>
      <x:c r="B71" s="21" t="str">
        <x:f>Base_Costos!C71</x:f>
        <x:v>14254</x:v>
      </x:c>
      <x:c r="C71" s="21" t="str">
        <x:f>Base_Costos!D71</x:f>
        <x:v>PINZA DE PUNTA PLANA 6” 150mm AISLACION 1000V</x:v>
      </x:c>
      <x:c r="D71" s="21" t="str">
        <x:f>Base_Costos!E71</x:f>
        <x:v>Herramienta o conjunto para organización y trabajo de taller. Producto práctico para mecánica, mantenimiento y uso profesional.</x:v>
      </x:c>
      <x:c r="E71" s="22" t="n">
        <x:f>Base_Costos!H71</x:f>
        <x:v>17400</x:v>
      </x:c>
      <x:c r="F71" s="21" t="str">
        <x:v>1 unidad</x:v>
      </x:c>
      <x:c r="G71" s="21" t="n">
        <x:f>Base_Costos!O71</x:f>
        <x:v>29</x:v>
      </x:c>
      <x:c r="H71" s="21" t="str">
        <x:f>Base_Costos!N71</x:f>
        <x:v>Revisar OCR</x:v>
      </x:c>
    </x:row>
    <x:row r="72">
      <x:c r="A72" s="21" t="str">
        <x:f>Base_Costos!B72</x:f>
        <x:v>Set de Herramientas Completos / Individuales</x:v>
      </x:c>
      <x:c r="B72" s="21" t="str">
        <x:f>Base_Costos!C72</x:f>
        <x:v>L4265</x:v>
      </x:c>
      <x:c r="C72" s="21" t="str">
        <x:f>Base_Costos!D72</x:f>
        <x:v>JUEGO 3 PINZAS AISLADAS 1000V LUSQTOFF</x:v>
      </x:c>
      <x:c r="D72" s="21" t="str">
        <x:f>Base_Costos!E72</x:f>
        <x:v>Herramienta o conjunto para organización y trabajo de taller. Producto práctico para mecánica, mantenimiento y uso profesional.</x:v>
      </x:c>
      <x:c r="E72" s="22" t="n">
        <x:f>Base_Costos!H72</x:f>
        <x:v>50800</x:v>
      </x:c>
      <x:c r="F72" s="21" t="str">
        <x:v>1 unidad</x:v>
      </x:c>
      <x:c r="G72" s="21" t="n">
        <x:f>Base_Costos!O72</x:f>
        <x:v>30</x:v>
      </x:c>
      <x:c r="H72" s="21" t="str">
        <x:f>Base_Costos!N72</x:f>
        <x:v>OK</x:v>
      </x:c>
    </x:row>
    <x:row r="73">
      <x:c r="A73" s="21" t="str">
        <x:f>Base_Costos!B73</x:f>
        <x:v>Set de Herramientas Completos / Individuales</x:v>
      </x:c>
      <x:c r="B73" s="21" t="str">
        <x:f>Base_Costos!C73</x:f>
        <x:v>L4400</x:v>
      </x:c>
      <x:c r="C73" s="21" t="str">
        <x:f>Base_Costos!D73</x:f>
        <x:v>PINZA DE AVIACION CORTE RECTO 10” 250mm PRO</x:v>
      </x:c>
      <x:c r="D73" s="21" t="str">
        <x:f>Base_Costos!E73</x:f>
        <x:v>Producto orientado a corte, desbaste y terminación. Recomendado para metal, obra y mantenimiento general.</x:v>
      </x:c>
      <x:c r="E73" s="22" t="n">
        <x:f>Base_Costos!H73</x:f>
        <x:v>12400</x:v>
      </x:c>
      <x:c r="F73" s="21" t="str">
        <x:v>1 unidad</x:v>
      </x:c>
      <x:c r="G73" s="21" t="n">
        <x:f>Base_Costos!O73</x:f>
        <x:v>30</x:v>
      </x:c>
      <x:c r="H73" s="21" t="str">
        <x:f>Base_Costos!N73</x:f>
        <x:v>Revisar OCR</x:v>
      </x:c>
    </x:row>
    <x:row r="74">
      <x:c r="A74" s="21" t="str">
        <x:f>Base_Costos!B74</x:f>
        <x:v>Set de Herramientas Completos / Individuales</x:v>
      </x:c>
      <x:c r="B74" s="21" t="str">
        <x:f>Base_Costos!C74</x:f>
        <x:v>L4310</x:v>
      </x:c>
      <x:c r="C74" s="21" t="str">
        <x:f>Base_Costos!D74</x:f>
        <x:v>PINZA DE PRESION CON PLATAFORMA 8” 200mm PRO</x:v>
      </x:c>
      <x:c r="D74" s="21" t="str">
        <x:f>Base_Costos!E74</x:f>
        <x:v>Herramienta o conjunto para organización y trabajo de taller. Producto práctico para mecánica, mantenimiento y uso profesional.</x:v>
      </x:c>
      <x:c r="E74" s="22" t="n">
        <x:f>Base_Costos!H74</x:f>
        <x:v>12600</x:v>
      </x:c>
      <x:c r="F74" s="21" t="str">
        <x:v>1 unidad</x:v>
      </x:c>
      <x:c r="G74" s="21" t="n">
        <x:f>Base_Costos!O74</x:f>
        <x:v>30</x:v>
      </x:c>
      <x:c r="H74" s="21" t="str">
        <x:f>Base_Costos!N74</x:f>
        <x:v>Revisar OCR</x:v>
      </x:c>
    </x:row>
    <x:row r="75">
      <x:c r="A75" s="21" t="str">
        <x:f>Base_Costos!B75</x:f>
        <x:v>Set de Herramientas Completos / Individuales</x:v>
      </x:c>
      <x:c r="B75" s="21" t="str">
        <x:f>Base_Costos!C75</x:f>
        <x:v>17504</x:v>
      </x:c>
      <x:c r="C75" s="21" t="str">
        <x:f>Base_Costos!D75</x:f>
        <x:v>MARTILLO CARPINTERO 25MM (250 grs)</x:v>
      </x:c>
      <x:c r="D75" s="21" t="str">
        <x:f>Base_Costos!E75</x:f>
        <x:v>Herramienta para carpintería, corte, lijado y terminación en madera. Recomendada para trabajos precisos y terminación prolija.</x:v>
      </x:c>
      <x:c r="E75" s="22" t="n">
        <x:f>Base_Costos!H75</x:f>
        <x:v>9900</x:v>
      </x:c>
      <x:c r="F75" s="21" t="str">
        <x:v>1 unidad</x:v>
      </x:c>
      <x:c r="G75" s="21" t="n">
        <x:f>Base_Costos!O75</x:f>
        <x:v>31</x:v>
      </x:c>
      <x:c r="H75" s="21" t="str">
        <x:f>Base_Costos!N75</x:f>
        <x:v>Revisar OCR</x:v>
      </x:c>
    </x:row>
    <x:row r="76">
      <x:c r="A76" s="21" t="str">
        <x:f>Base_Costos!B76</x:f>
        <x:v>Set de Herramientas Completos / Individuales</x:v>
      </x:c>
      <x:c r="B76" s="21" t="str">
        <x:f>Base_Costos!C76</x:f>
        <x:v>117512</x:v>
      </x:c>
      <x:c r="C76" s="21" t="str">
        <x:f>Base_Costos!D76</x:f>
        <x:v>MARTILLO GALPONERO MANGO DE Fibra</x:v>
      </x:c>
      <x:c r="D76" s="21" t="str">
        <x:f>Base_Costos!E76</x:f>
        <x:v>Herramienta o conjunto para organización y trabajo de taller. Producto práctico para mecánica, mantenimiento y uso profesional.</x:v>
      </x:c>
      <x:c r="E76" s="22" t="n">
        <x:f>Base_Costos!H76</x:f>
        <x:v>12900</x:v>
      </x:c>
      <x:c r="F76" s="21" t="str">
        <x:v>1 unidad</x:v>
      </x:c>
      <x:c r="G76" s="21" t="n">
        <x:f>Base_Costos!O76</x:f>
        <x:v>31</x:v>
      </x:c>
      <x:c r="H76" s="21" t="str">
        <x:f>Base_Costos!N76</x:f>
        <x:v>Revisar OCR</x:v>
      </x:c>
    </x:row>
    <x:row r="77">
      <x:c r="A77" s="21" t="str">
        <x:f>Base_Costos!B77</x:f>
        <x:v>Set de Herramientas Completos / Individuales</x:v>
      </x:c>
      <x:c r="B77" s="21" t="str">
        <x:f>Base_Costos!C77</x:f>
        <x:v>17646</x:v>
      </x:c>
      <x:c r="C77" s="21" t="str">
        <x:f>Base_Costos!D77</x:f>
        <x:v>PRENSA DE LIBERACION RAPIDA 36"</x:v>
      </x:c>
      <x:c r="D77" s="21" t="str">
        <x:f>Base_Costos!E77</x:f>
        <x:v>Producto Lusqtoff para uso profesional, taller, hogar o mantenimiento. Consultar disponibilidad y garantía oficial.</x:v>
      </x:c>
      <x:c r="E77" s="22" t="n">
        <x:f>Base_Costos!H77</x:f>
        <x:v>16800</x:v>
      </x:c>
      <x:c r="F77" s="21" t="str">
        <x:v>1 unidad</x:v>
      </x:c>
      <x:c r="G77" s="21" t="n">
        <x:f>Base_Costos!O77</x:f>
        <x:v>31</x:v>
      </x:c>
      <x:c r="H77" s="21" t="str">
        <x:f>Base_Costos!N77</x:f>
        <x:v>OK</x:v>
      </x:c>
    </x:row>
    <x:row r="78">
      <x:c r="A78" s="21" t="str">
        <x:f>Base_Costos!B78</x:f>
        <x:v>Soldadoras / Accesorios</x:v>
      </x:c>
      <x:c r="B78" s="21" t="str">
        <x:f>Base_Costos!C78</x:f>
        <x:v>ST-1N</x:v>
      </x:c>
      <x:c r="C78" s="21" t="str">
        <x:f>Base_Costos!D78</x:f>
        <x:v>MÁSCARA FOTOSENSIBLE</x:v>
      </x:c>
      <x:c r="D78" s="21" t="str">
        <x:f>Base_Costos!E78</x:f>
        <x:v>Producto Lusqtoff para uso profesional, taller, hogar o mantenimiento. Consultar disponibilidad y garantía oficial.</x:v>
      </x:c>
      <x:c r="E78" s="22" t="n">
        <x:f>Base_Costos!H78</x:f>
        <x:v>34300</x:v>
      </x:c>
      <x:c r="F78" s="21" t="str">
        <x:v>1 unidad</x:v>
      </x:c>
      <x:c r="G78" s="21" t="n">
        <x:f>Base_Costos!O78</x:f>
        <x:v>32</x:v>
      </x:c>
      <x:c r="H78" s="21" t="str">
        <x:f>Base_Costos!N78</x:f>
        <x:v>OK</x:v>
      </x:c>
    </x:row>
    <x:row r="79">
      <x:c r="A79" s="21" t="str">
        <x:f>Base_Costos!B79</x:f>
        <x:v>Soldadoras / Accesorios</x:v>
      </x:c>
      <x:c r="B79" s="21" t="str">
        <x:f>Base_Costos!C79</x:f>
        <x:v>MEGAIRONI40</x:v>
      </x:c>
      <x:c r="C79" s="21" t="str">
        <x:f>Base_Costos!D79</x:f>
        <x:v>KIT SOLDADOR IRON-140 + MASC ST-1X +2 ESCUADRAS</x:v>
      </x:c>
      <x:c r="D79" s="21" t="str">
        <x:f>Base_Costos!E79</x:f>
        <x:v>Solución para trabajos de soldadura y reparación. Apto para taller, herrería y uso profesional según aplicación.</x:v>
      </x:c>
      <x:c r="E79" s="22" t="n">
        <x:f>Base_Costos!H79</x:f>
        <x:v>210300</x:v>
      </x:c>
      <x:c r="F79" s="21" t="str">
        <x:v>1 unidad</x:v>
      </x:c>
      <x:c r="G79" s="21" t="n">
        <x:f>Base_Costos!O79</x:f>
        <x:v>33</x:v>
      </x:c>
      <x:c r="H79" s="21" t="str">
        <x:f>Base_Costos!N79</x:f>
        <x:v>OK</x:v>
      </x:c>
    </x:row>
    <x:row r="80">
      <x:c r="A80" s="21" t="str">
        <x:f>Base_Costos!B80</x:f>
        <x:v>Soldadoras / Accesorios</x:v>
      </x:c>
      <x:c r="B80" s="21" t="str">
        <x:f>Base_Costos!C80</x:f>
        <x:v>SML120-8DK</x:v>
      </x:c>
      <x:c r="C80" s="21" t="str">
        <x:f>Base_Costos!D80</x:f>
        <x:v>SOLDADORA INVERTER DUAL</x:v>
      </x:c>
      <x:c r="D80" s="21" t="str">
        <x:f>Base_Costos!E80</x:f>
        <x:v>Solución para trabajos de soldadura y reparación. Apto para taller, herrería y uso profesional según aplicación.</x:v>
      </x:c>
      <x:c r="E80" s="22" t="n">
        <x:f>Base_Costos!H80</x:f>
        <x:v>366200</x:v>
      </x:c>
      <x:c r="F80" s="21" t="str">
        <x:v>1 unidad</x:v>
      </x:c>
      <x:c r="G80" s="21" t="n">
        <x:f>Base_Costos!O80</x:f>
        <x:v>33</x:v>
      </x:c>
      <x:c r="H80" s="21" t="str">
        <x:f>Base_Costos!N80</x:f>
        <x:v>OK</x:v>
      </x:c>
    </x:row>
    <x:row r="81">
      <x:c r="A81" s="21" t="str">
        <x:f>Base_Costos!B81</x:f>
        <x:v>Soldadoras / Accesorios</x:v>
      </x:c>
      <x:c r="B81" s="21" t="str">
        <x:f>Base_Costos!C81</x:f>
        <x:v>INCUT-40</x:v>
      </x:c>
      <x:c r="C81" s="21" t="str">
        <x:f>Base_Costos!D81</x:f>
        <x:v>CORTADORA DE PLASMA PROFESIONAL</x:v>
      </x:c>
      <x:c r="D81" s="21" t="str">
        <x:f>Base_Costos!E81</x:f>
        <x:v>Producto orientado a corte, desbaste y terminación. Recomendado para metal, obra y mantenimiento general.</x:v>
      </x:c>
      <x:c r="E81" s="22" t="n">
        <x:f>Base_Costos!H81</x:f>
        <x:v>128500</x:v>
      </x:c>
      <x:c r="F81" s="21" t="str">
        <x:v>1 unidad</x:v>
      </x:c>
      <x:c r="G81" s="21" t="n">
        <x:f>Base_Costos!O81</x:f>
        <x:v>34</x:v>
      </x:c>
      <x:c r="H81" s="21" t="str">
        <x:f>Base_Costos!N81</x:f>
        <x:v>Revisar OCR</x:v>
      </x:c>
    </x:row>
    <x:row r="82">
      <x:c r="A82" s="21" t="str">
        <x:f>Base_Costos!B82</x:f>
        <x:v>Soldadoras / Accesorios</x:v>
      </x:c>
      <x:c r="B82" s="21" t="str">
        <x:f>Base_Costos!C82</x:f>
        <x:v>IRON-140</x:v>
      </x:c>
      <x:c r="C82" s="21" t="str">
        <x:f>Base_Costos!D82</x:f>
        <x:v>SOLDADORA INVERTER 120a</x:v>
      </x:c>
      <x:c r="D82" s="21" t="str">
        <x:f>Base_Costos!E82</x:f>
        <x:v>Solución para trabajos de soldadura y reparación. Apto para taller, herrería y uso profesional según aplicación.</x:v>
      </x:c>
      <x:c r="E82" s="22" t="n">
        <x:f>Base_Costos!H82</x:f>
        <x:v>192100</x:v>
      </x:c>
      <x:c r="F82" s="21" t="str">
        <x:v>1 unidad</x:v>
      </x:c>
      <x:c r="G82" s="21" t="n">
        <x:f>Base_Costos!O82</x:f>
        <x:v>34</x:v>
      </x:c>
      <x:c r="H82" s="21" t="str">
        <x:f>Base_Costos!N82</x:f>
        <x:v>OK</x:v>
      </x:c>
    </x:row>
    <x:row r="83">
      <x:c r="A83" s="21" t="str">
        <x:f>Base_Costos!B83</x:f>
        <x:v>Compresores y Neumática</x:v>
      </x:c>
      <x:c r="B83" s="21" t="str">
        <x:f>Base_Costos!C83</x:f>
        <x:v>LC2025-8K</x:v>
      </x:c>
      <x:c r="C83" s="21" t="str">
        <x:f>Base_Costos!D83</x:f>
        <x:v>COMPRESOR 25 LITROS EN KIT</x:v>
      </x:c>
      <x:c r="D83" s="21" t="str">
        <x:f>Base_Costos!E83</x:f>
        <x:v>Equipo y accesorios para aire comprimido. Ideal para inflado, pintura, limpieza, herramientas neumáticas y uso de taller.</x:v>
      </x:c>
      <x:c r="E83" s="22" t="n">
        <x:f>Base_Costos!H83</x:f>
        <x:v>227700</x:v>
      </x:c>
      <x:c r="F83" s="21" t="str">
        <x:v>1 unidad</x:v>
      </x:c>
      <x:c r="G83" s="21" t="n">
        <x:f>Base_Costos!O83</x:f>
        <x:v>35</x:v>
      </x:c>
      <x:c r="H83" s="21" t="str">
        <x:f>Base_Costos!N83</x:f>
        <x:v>OK</x:v>
      </x:c>
    </x:row>
    <x:row r="84">
      <x:c r="A84" s="21" t="str">
        <x:f>Base_Costos!B84</x:f>
        <x:v>Compresores y Neumática</x:v>
      </x:c>
      <x:c r="B84" s="21" t="str">
        <x:f>Base_Costos!C84</x:f>
        <x:v>GC9040-50</x:v>
      </x:c>
      <x:c r="C84" s="21" t="str">
        <x:f>Base_Costos!D84</x:f>
        <x:v>CLAVADORA ENGRAMPADORA 2 EN 1</x:v>
      </x:c>
      <x:c r="D84" s="21" t="str">
        <x:f>Base_Costos!E84</x:f>
        <x:v>Producto Lusqtoff para uso profesional, taller, hogar o mantenimiento. Consultar disponibilidad y garantía oficial.</x:v>
      </x:c>
      <x:c r="E84" s="22" t="n">
        <x:f>Base_Costos!H84</x:f>
        <x:v>51500</x:v>
      </x:c>
      <x:c r="F84" s="21" t="str">
        <x:v>1 unidad</x:v>
      </x:c>
      <x:c r="G84" s="21" t="n">
        <x:f>Base_Costos!O84</x:f>
        <x:v>36</x:v>
      </x:c>
      <x:c r="H84" s="21" t="str">
        <x:f>Base_Costos!N84</x:f>
        <x:v>OK</x:v>
      </x:c>
    </x:row>
    <x:row r="85">
      <x:c r="A85" s="21" t="str">
        <x:f>Base_Costos!B85</x:f>
        <x:v>Compresores y Neumática</x:v>
      </x:c>
      <x:c r="B85" s="21" t="str">
        <x:f>Base_Costos!C85</x:f>
        <x:v>GP-2550B</x:v>
      </x:c>
      <x:c r="C85" s="21" t="str">
        <x:f>Base_Costos!D85</x:f>
        <x:v>Compresor 50LTS Garden Plus</x:v>
      </x:c>
      <x:c r="D85" s="21" t="str">
        <x:f>Base_Costos!E85</x:f>
        <x:v>Equipo y accesorios para aire comprimido. Ideal para inflado, pintura, limpieza, herramientas neumáticas y uso de taller.</x:v>
      </x:c>
      <x:c r="E85" s="22" t="n">
        <x:f>Base_Costos!H85</x:f>
        <x:v>207400</x:v>
      </x:c>
      <x:c r="F85" s="21" t="str">
        <x:v>1 unidad</x:v>
      </x:c>
      <x:c r="G85" s="21" t="n">
        <x:f>Base_Costos!O85</x:f>
        <x:v>36</x:v>
      </x:c>
      <x:c r="H85" s="21" t="str">
        <x:f>Base_Costos!N85</x:f>
        <x:v>OK</x:v>
      </x:c>
    </x:row>
    <x:row r="86">
      <x:c r="A86" s="21" t="str">
        <x:f>Base_Costos!B86</x:f>
        <x:v>Compresores y Neumática</x:v>
      </x:c>
      <x:c r="B86" s="21" t="str">
        <x:f>Base_Costos!C86</x:f>
      </x:c>
      <x:c r="C86" s="21" t="str">
        <x:f>Base_Costos!D86</x:f>
        <x:v>Compresor de aire 100 litros eléctrico Lusqtoff LC-40100 mo nofásico naranja 220V SOHz</x:v>
      </x:c>
      <x:c r="D86" s="21" t="str">
        <x:f>Base_Costos!E86</x:f>
        <x:v>Equipo y accesorios para aire comprimido. Ideal para inflado, pintura, limpieza, herramientas neumáticas y uso de taller.</x:v>
      </x:c>
      <x:c r="E86" s="22" t="n">
        <x:f>Base_Costos!H86</x:f>
        <x:v>593900</x:v>
      </x:c>
      <x:c r="F86" s="21" t="str">
        <x:v>1 unidad</x:v>
      </x:c>
      <x:c r="G86" s="21" t="n">
        <x:f>Base_Costos!O86</x:f>
        <x:v>36</x:v>
      </x:c>
      <x:c r="H86" s="21" t="str">
        <x:f>Base_Costos!N86</x:f>
        <x:v>Revisar OCR</x:v>
      </x:c>
    </x:row>
    <x:row r="87">
      <x:c r="A87" s="21" t="str">
        <x:f>Base_Costos!B87</x:f>
        <x:v>Compresores y Neumática</x:v>
      </x:c>
      <x:c r="B87" s="21" t="str">
        <x:f>Base_Costos!C87</x:f>
        <x:v>ANLI20-8A</x:v>
      </x:c>
      <x:c r="C87" s="21" t="str">
        <x:f>Base_Costos!D87</x:f>
        <x:v>ARENADORA NEUMATICA 120PSI</x:v>
      </x:c>
      <x:c r="D87" s="21" t="str">
        <x:f>Base_Costos!E87</x:f>
        <x:v>Equipo y accesorios para aire comprimido. Ideal para inflado, pintura, limpieza, herramientas neumáticas y uso de taller.</x:v>
      </x:c>
      <x:c r="E87" s="22" t="n">
        <x:f>Base_Costos!H87</x:f>
        <x:v>27800</x:v>
      </x:c>
      <x:c r="F87" s="21" t="str">
        <x:v>1 unidad</x:v>
      </x:c>
      <x:c r="G87" s="21" t="n">
        <x:f>Base_Costos!O87</x:f>
        <x:v>37</x:v>
      </x:c>
      <x:c r="H87" s="21" t="str">
        <x:f>Base_Costos!N87</x:f>
        <x:v>Revisar OCR</x:v>
      </x:c>
    </x:row>
    <x:row r="88">
      <x:c r="A88" s="21" t="str">
        <x:f>Base_Costos!B88</x:f>
        <x:v>Compresores y Neumática</x:v>
      </x:c>
      <x:c r="B88" s="21" t="str">
        <x:f>Base_Costos!C88</x:f>
        <x:v>AA-5000K</x:v>
      </x:c>
      <x:c r="C88" s="21" t="str">
        <x:f>Base_Costos!D88</x:f>
        <x:v>Kit Compresor Sopletear Inflar Lavar Pintar 5 Pzas</x:v>
      </x:c>
      <x:c r="D88" s="21" t="str">
        <x:f>Base_Costos!E88</x:f>
        <x:v>Equipo y accesorios para aire comprimido. Ideal para inflado, pintura, limpieza, herramientas neumáticas y uso de taller.</x:v>
      </x:c>
      <x:c r="E88" s="22" t="n">
        <x:f>Base_Costos!H88</x:f>
        <x:v>42100</x:v>
      </x:c>
      <x:c r="F88" s="21" t="str">
        <x:v>1 unidad</x:v>
      </x:c>
      <x:c r="G88" s="21" t="n">
        <x:f>Base_Costos!O88</x:f>
        <x:v>37</x:v>
      </x:c>
      <x:c r="H88" s="21" t="str">
        <x:f>Base_Costos!N88</x:f>
        <x:v>OK</x:v>
      </x:c>
    </x:row>
    <x:row r="89">
      <x:c r="A89" s="21" t="str">
        <x:f>Base_Costos!B89</x:f>
        <x:v>Compresores y Neumática</x:v>
      </x:c>
      <x:c r="B89" s="21" t="str">
        <x:f>Base_Costos!C89</x:f>
        <x:v>AS-1050</x:v>
      </x:c>
      <x:c r="C89" s="21" t="str">
        <x:f>Base_Costos!D89</x:f>
        <x:v>Pistola de pintar alta presion</x:v>
      </x:c>
      <x:c r="D89" s="21" t="str">
        <x:f>Base_Costos!E89</x:f>
        <x:v>Equipo y accesorios para aire comprimido. Ideal para inflado, pintura, limpieza, herramientas neumáticas y uso de taller.</x:v>
      </x:c>
      <x:c r="E89" s="22" t="n">
        <x:f>Base_Costos!H89</x:f>
        <x:v>32900</x:v>
      </x:c>
      <x:c r="F89" s="21" t="str">
        <x:v>1 unidad</x:v>
      </x:c>
      <x:c r="G89" s="21" t="n">
        <x:f>Base_Costos!O89</x:f>
        <x:v>37</x:v>
      </x:c>
      <x:c r="H89" s="21" t="str">
        <x:f>Base_Costos!N89</x:f>
        <x:v>Revisar OCR</x:v>
      </x:c>
    </x:row>
    <x:row r="90">
      <x:c r="A90" s="21" t="str">
        <x:f>Base_Costos!B90</x:f>
        <x:v>Compresores y Neumática</x:v>
      </x:c>
      <x:c r="B90" s="21" t="str">
        <x:f>Base_Costos!C90</x:f>
        <x:v>KACL20-9</x:v>
      </x:c>
      <x:c r="C90" s="21" t="str">
        <x:f>Base_Costos!D90</x:f>
        <x:v>KIT ACCESORIO PARA COMPRESOR</x:v>
      </x:c>
      <x:c r="D90" s="21" t="str">
        <x:f>Base_Costos!E90</x:f>
        <x:v>Equipo y accesorios para aire comprimido. Ideal para inflado, pintura, limpieza, herramientas neumáticas y uso de taller.</x:v>
      </x:c>
      <x:c r="E90" s="22" t="n">
        <x:f>Base_Costos!H90</x:f>
        <x:v>34500</x:v>
      </x:c>
      <x:c r="F90" s="21" t="str">
        <x:v>1 unidad</x:v>
      </x:c>
      <x:c r="G90" s="21" t="n">
        <x:f>Base_Costos!O90</x:f>
        <x:v>38</x:v>
      </x:c>
      <x:c r="H90" s="21" t="str">
        <x:f>Base_Costos!N90</x:f>
        <x:v>OK</x:v>
      </x:c>
    </x:row>
    <x:row r="91">
      <x:c r="A91" s="21" t="str">
        <x:f>Base_Costos!B91</x:f>
        <x:v>Carpintería y Madera</x:v>
      </x:c>
      <x:c r="B91" s="21" t="str">
        <x:f>Base_Costos!C91</x:f>
        <x:v>CSL1500-8</x:v>
      </x:c>
      <x:c r="C91" s="21" t="str">
        <x:f>Base_Costos!D91</x:f>
        <x:v>SIERRA CIRCULAR 1500W</x:v>
      </x:c>
      <x:c r="D91" s="21" t="str">
        <x:f>Base_Costos!E91</x:f>
        <x:v>Herramienta para carpintería, corte, lijado y terminación en madera. Recomendada para trabajos precisos y terminación prolija.</x:v>
      </x:c>
      <x:c r="E91" s="22" t="n">
        <x:f>Base_Costos!H91</x:f>
        <x:v>131900</x:v>
      </x:c>
      <x:c r="F91" s="21" t="str">
        <x:v>1 unidad</x:v>
      </x:c>
      <x:c r="G91" s="21" t="n">
        <x:f>Base_Costos!O91</x:f>
        <x:v>39</x:v>
      </x:c>
      <x:c r="H91" s="21" t="str">
        <x:f>Base_Costos!N91</x:f>
        <x:v>OK</x:v>
      </x:c>
    </x:row>
    <x:row r="92">
      <x:c r="A92" s="21" t="str">
        <x:f>Base_Costos!B92</x:f>
        <x:v>Carpintería y Madera</x:v>
      </x:c>
      <x:c r="B92" s="21" t="str">
        <x:f>Base_Costos!C92</x:f>
        <x:v>FRL1400-9</x:v>
      </x:c>
      <x:c r="C92" s="21" t="str">
        <x:f>Base_Costos!D92</x:f>
        <x:v>FRESADORA 1400W</x:v>
      </x:c>
      <x:c r="D92" s="21" t="str">
        <x:f>Base_Costos!E92</x:f>
        <x:v>Herramienta para carpintería, corte, lijado y terminación en madera. Recomendada para trabajos precisos y terminación prolija.</x:v>
      </x:c>
      <x:c r="E92" s="22" t="n">
        <x:f>Base_Costos!H92</x:f>
        <x:v>193200</x:v>
      </x:c>
      <x:c r="F92" s="21" t="str">
        <x:v>1 unidad</x:v>
      </x:c>
      <x:c r="G92" s="21" t="n">
        <x:f>Base_Costos!O92</x:f>
        <x:v>40</x:v>
      </x:c>
      <x:c r="H92" s="21" t="str">
        <x:f>Base_Costos!N92</x:f>
        <x:v>OK</x:v>
      </x:c>
    </x:row>
    <x:row r="93">
      <x:c r="A93" s="21" t="str">
        <x:f>Base_Costos!B93</x:f>
        <x:v>Carpintería y Madera</x:v>
      </x:c>
      <x:c r="B93" s="21" t="str">
        <x:f>Base_Costos!C93</x:f>
        <x:v>LQI-1650</x:v>
      </x:c>
      <x:c r="C93" s="21" t="str">
        <x:f>Base_Costos!D93</x:f>
        <x:v>INGLETADORA 1650W</x:v>
      </x:c>
      <x:c r="D93" s="21" t="str">
        <x:f>Base_Costos!E93</x:f>
        <x:v>Herramienta para carpintería, corte, lijado y terminación en madera. Recomendada para trabajos precisos y terminación prolija.</x:v>
      </x:c>
      <x:c r="E93" s="22" t="n">
        <x:f>Base_Costos!H93</x:f>
        <x:v>317100</x:v>
      </x:c>
      <x:c r="F93" s="21" t="str">
        <x:v>1 unidad</x:v>
      </x:c>
      <x:c r="G93" s="21" t="n">
        <x:f>Base_Costos!O93</x:f>
        <x:v>40</x:v>
      </x:c>
      <x:c r="H93" s="21" t="str">
        <x:f>Base_Costos!N93</x:f>
        <x:v>OK</x:v>
      </x:c>
    </x:row>
    <x:row r="94">
      <x:c r="A94" s="21" t="str">
        <x:f>Base_Costos!B94</x:f>
        <x:v>Carpintería y Madera</x:v>
      </x:c>
      <x:c r="B94" s="21" t="str">
        <x:f>Base_Costos!C94</x:f>
        <x:v>LBL810-7</x:v>
      </x:c>
      <x:c r="C94" s="21" t="str">
        <x:f>Base_Costos!D94</x:f>
        <x:v>LIJADORA DE BANDA 810W</x:v>
      </x:c>
      <x:c r="D94" s="21" t="str">
        <x:f>Base_Costos!E94</x:f>
        <x:v>Herramienta para carpintería, corte, lijado y terminación en madera. Recomendada para trabajos precisos y terminación prolija.</x:v>
      </x:c>
      <x:c r="E94" s="22" t="n">
        <x:f>Base_Costos!H94</x:f>
        <x:v>130700</x:v>
      </x:c>
      <x:c r="F94" s="21" t="str">
        <x:v>1 unidad</x:v>
      </x:c>
      <x:c r="G94" s="21" t="n">
        <x:f>Base_Costos!O94</x:f>
        <x:v>40</x:v>
      </x:c>
      <x:c r="H94" s="21" t="str">
        <x:f>Base_Costos!N94</x:f>
        <x:v>OK</x:v>
      </x:c>
    </x:row>
    <x:row r="95">
      <x:c r="A95" s="21" t="str">
        <x:f>Base_Costos!B95</x:f>
        <x:v>Carpintería y Madera</x:v>
      </x:c>
      <x:c r="B95" s="21" t="str">
        <x:f>Base_Costos!C95</x:f>
        <x:v>LRL300-8</x:v>
      </x:c>
      <x:c r="C95" s="21" t="str">
        <x:f>Base_Costos!D95</x:f>
        <x:v>LIJADORA ROTO ORBITAL</x:v>
      </x:c>
      <x:c r="D95" s="21" t="str">
        <x:f>Base_Costos!E95</x:f>
        <x:v>Herramienta para carpintería, corte, lijado y terminación en madera. Recomendada para trabajos precisos y terminación prolija.</x:v>
      </x:c>
      <x:c r="E95" s="22" t="n">
        <x:f>Base_Costos!H95</x:f>
        <x:v>74400</x:v>
      </x:c>
      <x:c r="F95" s="21" t="str">
        <x:v>1 unidad</x:v>
      </x:c>
      <x:c r="G95" s="21" t="n">
        <x:f>Base_Costos!O95</x:f>
        <x:v>41</x:v>
      </x:c>
      <x:c r="H95" s="21" t="str">
        <x:f>Base_Costos!N95</x:f>
        <x:v>Revisar OCR</x:v>
      </x:c>
    </x:row>
    <x:row r="96">
      <x:c r="A96" s="21" t="str">
        <x:f>Base_Costos!B96</x:f>
        <x:v>Carpintería y Madera</x:v>
      </x:c>
      <x:c r="B96" s="21" t="str">
        <x:f>Base_Costos!C96</x:f>
        <x:v>LQLB-250</x:v>
      </x:c>
      <x:c r="C96" s="21" t="str">
        <x:f>Base_Costos!D96</x:f>
        <x:v>Lijadora De Banda Banco Combinada Lusatoff 44 O Watts</x:v>
      </x:c>
      <x:c r="D96" s="21" t="str">
        <x:f>Base_Costos!E96</x:f>
        <x:v>Herramienta para carpintería, corte, lijado y terminación en madera. Recomendada para trabajos precisos y terminación prolija.</x:v>
      </x:c>
      <x:c r="E96" s="22" t="n">
        <x:f>Base_Costos!H96</x:f>
        <x:v>262500</x:v>
      </x:c>
      <x:c r="F96" s="21" t="str">
        <x:v>1 unidad</x:v>
      </x:c>
      <x:c r="G96" s="21" t="n">
        <x:f>Base_Costos!O96</x:f>
        <x:v>41</x:v>
      </x:c>
      <x:c r="H96" s="21" t="str">
        <x:f>Base_Costos!N96</x:f>
        <x:v>Revisar OCR</x:v>
      </x:c>
    </x:row>
    <x:row r="97">
      <x:c r="A97" s="21" t="str">
        <x:f>Base_Costos!B97</x:f>
        <x:v>Carpintería y Madera</x:v>
      </x:c>
      <x:c r="B97" s="21" t="str">
        <x:f>Base_Costos!C97</x:f>
        <x:v>SCL710-8</x:v>
      </x:c>
      <x:c r="C97" s="21" t="str">
        <x:f>Base_Costos!D97</x:f>
        <x:v>SIERRA CALADORA 710W</x:v>
      </x:c>
      <x:c r="D97" s="21" t="str">
        <x:f>Base_Costos!E97</x:f>
        <x:v>Herramienta para carpintería, corte, lijado y terminación en madera. Recomendada para trabajos precisos y terminación prolija.</x:v>
      </x:c>
      <x:c r="E97" s="22" t="n">
        <x:f>Base_Costos!H97</x:f>
        <x:v>113300</x:v>
      </x:c>
      <x:c r="F97" s="21" t="str">
        <x:v>1 unidad</x:v>
      </x:c>
      <x:c r="G97" s="21" t="n">
        <x:f>Base_Costos!O97</x:f>
        <x:v>41</x:v>
      </x:c>
      <x:c r="H97" s="21" t="str">
        <x:f>Base_Costos!N97</x:f>
        <x:v>OK</x:v>
      </x:c>
    </x:row>
    <x:row r="98">
      <x:c r="A98" s="21" t="str">
        <x:f>Base_Costos!B98</x:f>
        <x:v>Carpintería y Madera</x:v>
      </x:c>
      <x:c r="B98" s="21" t="str">
        <x:f>Base_Costos!C98</x:f>
        <x:v>LX-4076</x:v>
      </x:c>
      <x:c r="C98" s="21" t="str">
        <x:f>Base_Costos!D98</x:f>
        <x:v>LIJADORA ROTO ORBITAL NEUMATICA</x:v>
      </x:c>
      <x:c r="D98" s="21" t="str">
        <x:f>Base_Costos!E98</x:f>
        <x:v>Equipo y accesorios para aire comprimido. Ideal para inflado, pintura, limpieza, herramientas neumáticas y uso de taller.</x:v>
      </x:c>
      <x:c r="E98" s="22" t="n">
        <x:f>Base_Costos!H98</x:f>
        <x:v>76300</x:v>
      </x:c>
      <x:c r="F98" s="21" t="str">
        <x:v>1 unidad</x:v>
      </x:c>
      <x:c r="G98" s="21" t="n">
        <x:f>Base_Costos!O98</x:f>
        <x:v>42</x:v>
      </x:c>
      <x:c r="H98" s="21" t="str">
        <x:f>Base_Costos!N98</x:f>
        <x:v>OK</x:v>
      </x:c>
    </x:row>
    <x:row r="99">
      <x:c r="A99" s="21" t="str">
        <x:f>Base_Costos!B99</x:f>
        <x:v>Jardinería / Camping / Exterior</x:v>
      </x:c>
      <x:c r="B99" s="21" t="str">
        <x:f>Base_Costos!C99</x:f>
        <x:v>GBL-8</x:v>
      </x:c>
      <x:c r="C99" s="21" t="str">
        <x:f>Base_Costos!D99</x:f>
        <x:v>GAZEBO 3x3 TELA OXFORD</x:v>
      </x:c>
      <x:c r="D99" s="21" t="str">
        <x:f>Base_Costos!E99</x:f>
        <x:v>Producto para jardín, camping y exterior. Recomendado para mantenimiento de espacios verdes, uso recreativo y tareas outdoor.</x:v>
      </x:c>
      <x:c r="E99" s="22" t="n">
        <x:f>Base_Costos!H99</x:f>
        <x:v>174900</x:v>
      </x:c>
      <x:c r="F99" s="21" t="str">
        <x:v>1 unidad</x:v>
      </x:c>
      <x:c r="G99" s="21" t="n">
        <x:f>Base_Costos!O99</x:f>
        <x:v>43</x:v>
      </x:c>
      <x:c r="H99" s="21" t="str">
        <x:f>Base_Costos!N99</x:f>
        <x:v>OK</x:v>
      </x:c>
    </x:row>
    <x:row r="100">
      <x:c r="A100" s="21" t="str">
        <x:f>Base_Costos!B100</x:f>
        <x:v>Jardinería / Camping / Exterior</x:v>
      </x:c>
      <x:c r="B100" s="21" t="str">
        <x:f>Base_Costos!C100</x:f>
        <x:v>JK-1008P</x:v>
      </x:c>
      <x:c r="C100" s="21" t="str">
        <x:f>Base_Costos!D100</x:f>
        <x:v>CALEFACTOR EXTERIOR GAS BLANCO CON PELOT A</x:v>
      </x:c>
      <x:c r="D100" s="21" t="str">
        <x:f>Base_Costos!E100</x:f>
        <x:v>Producto Lusqtoff para uso profesional, taller, hogar o mantenimiento. Consultar disponibilidad y garantía oficial.</x:v>
      </x:c>
      <x:c r="E100" s="22" t="n">
        <x:f>Base_Costos!H100</x:f>
        <x:v>340200</x:v>
      </x:c>
      <x:c r="F100" s="21" t="str">
        <x:v>1 unidad</x:v>
      </x:c>
      <x:c r="G100" s="21" t="n">
        <x:f>Base_Costos!O100</x:f>
        <x:v>44</x:v>
      </x:c>
      <x:c r="H100" s="21" t="str">
        <x:f>Base_Costos!N100</x:f>
        <x:v>Revisar OCR</x:v>
      </x:c>
    </x:row>
    <x:row r="101">
      <x:c r="A101" s="21" t="str">
        <x:f>Base_Costos!B101</x:f>
        <x:v>Jardinería / Camping / Exterior</x:v>
      </x:c>
      <x:c r="B101" s="21" t="str">
        <x:f>Base_Costos!C101</x:f>
        <x:v>JK-1010</x:v>
      </x:c>
      <x:c r="C101" s="21" t="str">
        <x:f>Base_Costos!D101</x:f>
        <x:v>CALEFACTOR GAS GARRAFA -6M 1000</x:v>
      </x:c>
      <x:c r="D101" s="21" t="str">
        <x:f>Base_Costos!E101</x:f>
        <x:v>Producto Lusqtoff para uso profesional, taller, hogar o mantenimiento. Consultar disponibilidad y garantía oficial.</x:v>
      </x:c>
      <x:c r="E101" s="22" t="n">
        <x:f>Base_Costos!H101</x:f>
        <x:v>596900</x:v>
      </x:c>
      <x:c r="F101" s="21" t="str">
        <x:v>1 unidad</x:v>
      </x:c>
      <x:c r="G101" s="21" t="n">
        <x:f>Base_Costos!O101</x:f>
        <x:v>44</x:v>
      </x:c>
      <x:c r="H101" s="21" t="str">
        <x:f>Base_Costos!N101</x:f>
        <x:v>Revisar OCR</x:v>
      </x:c>
    </x:row>
    <x:row r="102">
      <x:c r="A102" s="21" t="str">
        <x:f>Base_Costos!B102</x:f>
        <x:v>Jardinería / Camping / Exterior</x:v>
      </x:c>
      <x:c r="B102" s="21" t="str">
        <x:f>Base_Costos!C102</x:f>
        <x:v>ANL2000-72</x:v>
      </x:c>
      <x:c r="C102" s="21" t="str">
        <x:f>Base_Costos!D102</x:f>
        <x:v>ANAFE ELECTRICO 2 HORNALLAS 1000W</x:v>
      </x:c>
      <x:c r="D102" s="21" t="str">
        <x:f>Base_Costos!E102</x:f>
        <x:v>Producto Lusqtoff para uso profesional, taller, hogar o mantenimiento. Consultar disponibilidad y garantía oficial.</x:v>
      </x:c>
      <x:c r="E102" s="22" t="n">
        <x:f>Base_Costos!H102</x:f>
        <x:v>48700</x:v>
      </x:c>
      <x:c r="F102" s="21" t="str">
        <x:v>1 unidad</x:v>
      </x:c>
      <x:c r="G102" s="21" t="n">
        <x:f>Base_Costos!O102</x:f>
        <x:v>45</x:v>
      </x:c>
      <x:c r="H102" s="21" t="str">
        <x:f>Base_Costos!N102</x:f>
        <x:v>Revisar OCR</x:v>
      </x:c>
    </x:row>
    <x:row r="103">
      <x:c r="A103" s="21" t="str">
        <x:f>Base_Costos!B103</x:f>
        <x:v>Jardinería / Camping / Exterior</x:v>
      </x:c>
      <x:c r="B103" s="21" t="str">
        <x:f>Base_Costos!C103</x:f>
        <x:v>LE4OO</x:v>
      </x:c>
      <x:c r="C103" s="21" t="str">
        <x:f>Base_Costos!D103</x:f>
        <x:v>ESCALERA PLEGABLE ALUMINIO 4x4</x:v>
      </x:c>
      <x:c r="D103" s="21" t="str">
        <x:f>Base_Costos!E103</x:f>
        <x:v>Producto Lusqtoff para uso profesional, taller, hogar o mantenimiento. Consultar disponibilidad y garantía oficial.</x:v>
      </x:c>
      <x:c r="E103" s="22" t="n">
        <x:f>Base_Costos!H103</x:f>
        <x:v>182600</x:v>
      </x:c>
      <x:c r="F103" s="21" t="str">
        <x:v>1 unidad</x:v>
      </x:c>
      <x:c r="G103" s="21" t="n">
        <x:f>Base_Costos!O103</x:f>
        <x:v>45</x:v>
      </x:c>
      <x:c r="H103" s="21" t="str">
        <x:f>Base_Costos!N103</x:f>
        <x:v>OK</x:v>
      </x:c>
    </x:row>
    <x:row r="104">
      <x:c r="A104" s="21" t="str">
        <x:f>Base_Costos!B104</x:f>
        <x:v>Estética y Accesorios Automotor</x:v>
      </x:c>
      <x:c r="B104" s="21" t="str">
        <x:f>Base_Costos!C104</x:f>
        <x:v>HL100-7</x:v>
      </x:c>
      <x:c r="C104" s="21" t="str">
        <x:f>Base_Costos!D104</x:f>
        <x:v>HIDROLAVADORA 70 BAR 1200W</x:v>
      </x:c>
      <x:c r="D104" s="21" t="str">
        <x:f>Base_Costos!E104</x:f>
        <x:v>Producto para cuidado automotor, detailing y mantenimiento. Ideal para limpieza, energía auxiliar y uso de taller.</x:v>
      </x:c>
      <x:c r="E104" s="22" t="n">
        <x:f>Base_Costos!H104</x:f>
        <x:v>116100</x:v>
      </x:c>
      <x:c r="F104" s="21" t="str">
        <x:v>1 unidad</x:v>
      </x:c>
      <x:c r="G104" s="21" t="n">
        <x:f>Base_Costos!O104</x:f>
        <x:v>46</x:v>
      </x:c>
      <x:c r="H104" s="21" t="str">
        <x:f>Base_Costos!N104</x:f>
        <x:v>Revisar OCR</x:v>
      </x:c>
    </x:row>
    <x:row r="105">
      <x:c r="A105" s="21" t="str">
        <x:f>Base_Costos!B105</x:f>
        <x:v>Estética y Accesorios Automotor</x:v>
      </x:c>
      <x:c r="B105" s="21" t="str">
        <x:f>Base_Costos!C105</x:f>
        <x:v>LT-590</x:v>
      </x:c>
      <x:c r="C105" s="21" t="str">
        <x:f>Base_Costos!D105</x:f>
        <x:v>HIDROLAVADORA ELÉCTRICA PROFESIONAL 2200W</x:v>
      </x:c>
      <x:c r="D105" s="21" t="str">
        <x:f>Base_Costos!E105</x:f>
        <x:v>Producto para cuidado automotor, detailing y mantenimiento. Ideal para limpieza, energía auxiliar y uso de taller.</x:v>
      </x:c>
      <x:c r="E105" s="22" t="n">
        <x:f>Base_Costos!H105</x:f>
        <x:v>592800</x:v>
      </x:c>
      <x:c r="F105" s="21" t="str">
        <x:v>1 unidad</x:v>
      </x:c>
      <x:c r="G105" s="21" t="n">
        <x:f>Base_Costos!O105</x:f>
        <x:v>46</x:v>
      </x:c>
      <x:c r="H105" s="21" t="str">
        <x:f>Base_Costos!N105</x:f>
        <x:v>Revisar OCR</x:v>
      </x:c>
    </x:row>
    <x:row r="106">
      <x:c r="A106" s="21" t="str">
        <x:f>Base_Costos!B106</x:f>
        <x:v>Jardinería / Camping / Exterior</x:v>
      </x:c>
      <x:c r="B106" s="21" t="str">
        <x:f>Base_Costos!C106</x:f>
        <x:v>ESL166-75</x:v>
      </x:c>
      <x:c r="C106" s="21" t="str">
        <x:f>Base_Costos!D106</x:f>
        <x:v>ESCALERA HOGAREÑA 5ESCALONES</x:v>
      </x:c>
      <x:c r="D106" s="21" t="str">
        <x:f>Base_Costos!E106</x:f>
        <x:v>Producto Lusqtoff para uso profesional, taller, hogar o mantenimiento. Consultar disponibilidad y garantía oficial.</x:v>
      </x:c>
      <x:c r="E106" s="22" t="n">
        <x:f>Base_Costos!H106</x:f>
        <x:v>101500</x:v>
      </x:c>
      <x:c r="F106" s="21" t="str">
        <x:v>1 unidad</x:v>
      </x:c>
      <x:c r="G106" s="21" t="n">
        <x:f>Base_Costos!O106</x:f>
        <x:v>46</x:v>
      </x:c>
      <x:c r="H106" s="21" t="str">
        <x:f>Base_Costos!N106</x:f>
        <x:v>Revisar OCR</x:v>
      </x:c>
    </x:row>
    <x:row r="107">
      <x:c r="A107" s="21" t="str">
        <x:f>Base_Costos!B107</x:f>
        <x:v>Estética y Accesorios Automotor</x:v>
      </x:c>
      <x:c r="B107" s="21" t="str">
        <x:f>Base_Costos!C107</x:f>
        <x:v>LH-75</x:v>
      </x:c>
      <x:c r="C107" s="21" t="str">
        <x:f>Base_Costos!D107</x:f>
        <x:v>HIDROLAVADORA A EXPLOSION 75</x:v>
      </x:c>
      <x:c r="D107" s="21" t="str">
        <x:f>Base_Costos!E107</x:f>
        <x:v>Producto para cuidado automotor, detailing y mantenimiento. Ideal para limpieza, energía auxiliar y uso de taller.</x:v>
      </x:c>
      <x:c r="E107" s="22" t="n">
        <x:f>Base_Costos!H107</x:f>
        <x:v>1027100</x:v>
      </x:c>
      <x:c r="F107" s="21" t="str">
        <x:v>1 unidad</x:v>
      </x:c>
      <x:c r="G107" s="21" t="n">
        <x:f>Base_Costos!O107</x:f>
        <x:v>47</x:v>
      </x:c>
      <x:c r="H107" s="21" t="str">
        <x:f>Base_Costos!N107</x:f>
        <x:v>Revisar OCR</x:v>
      </x:c>
    </x:row>
    <x:row r="108">
      <x:c r="A108" s="21" t="str">
        <x:f>Base_Costos!B108</x:f>
        <x:v>Estética y Accesorios Automotor</x:v>
      </x:c>
      <x:c r="B108" s="21" t="str">
        <x:f>Base_Costos!C108</x:f>
        <x:v>HL-120</x:v>
      </x:c>
      <x:c r="C108" s="21" t="str">
        <x:f>Base_Costos!D108</x:f>
        <x:v>HIDROLAVADORA ELECTRICA</x:v>
      </x:c>
      <x:c r="D108" s="21" t="str">
        <x:f>Base_Costos!E108</x:f>
        <x:v>Producto para cuidado automotor, detailing y mantenimiento. Ideal para limpieza, energía auxiliar y uso de taller.</x:v>
      </x:c>
      <x:c r="E108" s="22" t="n">
        <x:f>Base_Costos!H108</x:f>
        <x:v>133500</x:v>
      </x:c>
      <x:c r="F108" s="21" t="str">
        <x:v>1 unidad</x:v>
      </x:c>
      <x:c r="G108" s="21" t="n">
        <x:f>Base_Costos!O108</x:f>
        <x:v>47</x:v>
      </x:c>
      <x:c r="H108" s="21" t="str">
        <x:f>Base_Costos!N108</x:f>
        <x:v>Revisar OCR</x:v>
      </x:c>
    </x:row>
    <x:row r="109">
      <x:c r="A109" s="21" t="str">
        <x:f>Base_Costos!B109</x:f>
        <x:v>Jardinería / Camping / Exterior</x:v>
      </x:c>
      <x:c r="B109" s="21" t="str">
        <x:f>Base_Costos!C109</x:f>
        <x:v>ESL2000-8</x:v>
      </x:c>
      <x:c r="C109" s="21" t="str">
        <x:f>Base_Costos!D109</x:f>
        <x:v>ELECTROSIERRA 2000W</x:v>
      </x:c>
      <x:c r="D109" s="21" t="str">
        <x:f>Base_Costos!E109</x:f>
        <x:v>Herramienta para carpintería, corte, lijado y terminación en madera. Recomendada para trabajos precisos y terminación prolija.</x:v>
      </x:c>
      <x:c r="E109" s="22" t="n">
        <x:f>Base_Costos!H109</x:f>
        <x:v>142000</x:v>
      </x:c>
      <x:c r="F109" s="21" t="str">
        <x:v>1 unidad</x:v>
      </x:c>
      <x:c r="G109" s="21" t="n">
        <x:f>Base_Costos!O109</x:f>
        <x:v>48</x:v>
      </x:c>
      <x:c r="H109" s="21" t="str">
        <x:f>Base_Costos!N109</x:f>
        <x:v>OK</x:v>
      </x:c>
    </x:row>
    <x:row r="110">
      <x:c r="A110" s="21" t="str">
        <x:f>Base_Costos!B110</x:f>
        <x:v>Jardinería / Camping / Exterior</x:v>
      </x:c>
      <x:c r="B110" s="21" t="str">
        <x:f>Base_Costos!C110</x:f>
        <x:v>GP40-7BK</x:v>
      </x:c>
      <x:c r="C110" s="21" t="str">
        <x:f>Base_Costos!D110</x:f>
        <x:v>MINI MOTOSIERRA A BATERIA</x:v>
      </x:c>
      <x:c r="D110" s="21" t="str">
        <x:f>Base_Costos!E110</x:f>
        <x:v>Herramienta para carpintería, corte, lijado y terminación en madera. Recomendada para trabajos precisos y terminación prolija.</x:v>
      </x:c>
      <x:c r="E110" s="22" t="n">
        <x:f>Base_Costos!H110</x:f>
        <x:v>87700</x:v>
      </x:c>
      <x:c r="F110" s="21" t="str">
        <x:v>1 unidad</x:v>
      </x:c>
      <x:c r="G110" s="21" t="n">
        <x:f>Base_Costos!O110</x:f>
        <x:v>48</x:v>
      </x:c>
      <x:c r="H110" s="21" t="str">
        <x:f>Base_Costos!N110</x:f>
        <x:v>OK</x:v>
      </x:c>
    </x:row>
    <x:row r="111">
      <x:c r="A111" s="21" t="str">
        <x:f>Base_Costos!B111</x:f>
        <x:v>Jardinería / Camping / Exterior</x:v>
      </x:c>
      <x:c r="B111" s="21" t="str">
        <x:f>Base_Costos!C111</x:f>
        <x:v>BL18-8B</x:v>
      </x:c>
      <x:c r="C111" s="21" t="str">
        <x:f>Base_Costos!D111</x:f>
        <x:v>BORDEADORA A BATERIA</x:v>
      </x:c>
      <x:c r="D111" s="21" t="str">
        <x:f>Base_Costos!E111</x:f>
        <x:v>Producto para jardín, camping y exterior. Recomendado para mantenimiento de espacios verdes, uso recreativo y tareas outdoor.</x:v>
      </x:c>
      <x:c r="E111" s="22" t="n">
        <x:f>Base_Costos!H111</x:f>
        <x:v>86300</x:v>
      </x:c>
      <x:c r="F111" s="21" t="str">
        <x:v>1 unidad</x:v>
      </x:c>
      <x:c r="G111" s="21" t="n">
        <x:f>Base_Costos!O111</x:f>
        <x:v>49</x:v>
      </x:c>
      <x:c r="H111" s="21" t="str">
        <x:f>Base_Costos!N111</x:f>
        <x:v>OK</x:v>
      </x:c>
    </x:row>
    <x:row r="112">
      <x:c r="A112" s="21" t="str">
        <x:f>Base_Costos!B112</x:f>
        <x:v>Jardinería / Camping / Exterior</x:v>
      </x:c>
      <x:c r="B112" s="21" t="str">
        <x:f>Base_Costos!C112</x:f>
        <x:v>LCO-1640B</x:v>
      </x:c>
      <x:c r="C112" s="21" t="str">
        <x:f>Base_Costos!D112</x:f>
        <x:v>CORTADORA DE CESPED 1600W LUSQTOFF</x:v>
      </x:c>
      <x:c r="D112" s="21" t="str">
        <x:f>Base_Costos!E112</x:f>
        <x:v>Producto orientado a corte, desbaste y terminación. Recomendado para metal, obra y mantenimiento general.</x:v>
      </x:c>
      <x:c r="E112" s="22" t="n">
        <x:f>Base_Costos!H112</x:f>
        <x:v>243100</x:v>
      </x:c>
      <x:c r="F112" s="21" t="str">
        <x:v>1 unidad</x:v>
      </x:c>
      <x:c r="G112" s="21" t="n">
        <x:f>Base_Costos!O112</x:f>
        <x:v>51</x:v>
      </x:c>
      <x:c r="H112" s="21" t="str">
        <x:f>Base_Costos!N112</x:f>
        <x:v>OK</x:v>
      </x:c>
    </x:row>
    <x:row r="113">
      <x:c r="A113" s="21" t="str">
        <x:f>Base_Costos!B113</x:f>
        <x:v>Jardinería / Camping / Exterior</x:v>
      </x:c>
      <x:c r="B113" s="21" t="str">
        <x:f>Base_Costos!C113</x:f>
        <x:v>1C0-10328</x:v>
      </x:c>
      <x:c r="C113" s="21" t="str">
        <x:f>Base_Costos!D113</x:f>
        <x:v>CORTADORA DE CESPED ELECTRICA</x:v>
      </x:c>
      <x:c r="D113" s="21" t="str">
        <x:f>Base_Costos!E113</x:f>
        <x:v>Producto orientado a corte, desbaste y terminación. Recomendado para metal, obra y mantenimiento general.</x:v>
      </x:c>
      <x:c r="E113" s="22" t="n">
        <x:f>Base_Costos!H113</x:f>
        <x:v>221100</x:v>
      </x:c>
      <x:c r="F113" s="21" t="str">
        <x:v>1 unidad</x:v>
      </x:c>
      <x:c r="G113" s="21" t="n">
        <x:f>Base_Costos!O113</x:f>
        <x:v>51</x:v>
      </x:c>
      <x:c r="H113" s="21" t="str">
        <x:f>Base_Costos!N113</x:f>
        <x:v>Revisar OCR</x:v>
      </x:c>
    </x:row>
    <x:row r="114">
      <x:c r="A114" s="21" t="str">
        <x:f>Base_Costos!B114</x:f>
        <x:v>Jardinería / Camping / Exterior</x:v>
      </x:c>
      <x:c r="B114" s="21" t="str">
        <x:f>Base_Costos!C114</x:f>
      </x:c>
      <x:c r="C114" s="21" t="str">
        <x:f>Base_Costos!D114</x:f>
        <x:v>‘SPL2400-8 - SOPLADOR ASPIRADOR ELECTRICO 2400W</x:v>
      </x:c>
      <x:c r="D114" s="21" t="str">
        <x:f>Base_Costos!E114</x:f>
        <x:v>Producto Lusqtoff para uso profesional, taller, hogar o mantenimiento. Consultar disponibilidad y garantía oficial.</x:v>
      </x:c>
      <x:c r="E114" s="22" t="n">
        <x:f>Base_Costos!H114</x:f>
        <x:v>87500</x:v>
      </x:c>
      <x:c r="F114" s="21" t="str">
        <x:v>1 unidad</x:v>
      </x:c>
      <x:c r="G114" s="21" t="n">
        <x:f>Base_Costos!O114</x:f>
        <x:v>51</x:v>
      </x:c>
      <x:c r="H114" s="21" t="str">
        <x:f>Base_Costos!N114</x:f>
        <x:v>OK</x:v>
      </x:c>
    </x:row>
    <x:row r="115">
      <x:c r="A115" s="21" t="str">
        <x:f>Base_Costos!B115</x:f>
        <x:v>Jardinería / Camping / Exterior</x:v>
      </x:c>
      <x:c r="B115" s="21" t="str">
        <x:f>Base_Costos!C115</x:f>
        <x:v>LOMCP-8</x:v>
      </x:c>
      <x:c r="C115" s="21" t="str">
        <x:f>Base_Costos!D115</x:f>
        <x:v>CASCO FORESTAL CERTIFICADO HASTA 291 DB</x:v>
      </x:c>
      <x:c r="D115" s="21" t="str">
        <x:f>Base_Costos!E115</x:f>
        <x:v>Producto Lusqtoff para uso profesional, taller, hogar o mantenimiento. Consultar disponibilidad y garantía oficial.</x:v>
      </x:c>
      <x:c r="E115" s="22" t="n">
        <x:f>Base_Costos!H115</x:f>
        <x:v>81000</x:v>
      </x:c>
      <x:c r="F115" s="21" t="str">
        <x:v>1 unidad</x:v>
      </x:c>
      <x:c r="G115" s="21" t="n">
        <x:f>Base_Costos!O115</x:f>
        <x:v>52</x:v>
      </x:c>
      <x:c r="H115" s="21" t="str">
        <x:f>Base_Costos!N115</x:f>
        <x:v>OK</x:v>
      </x:c>
    </x:row>
    <x:row r="116">
      <x:c r="A116" s="21" t="str">
        <x:f>Base_Costos!B116</x:f>
        <x:v>Jardinería / Camping / Exterior</x:v>
      </x:c>
      <x:c r="B116" s="21" t="str">
        <x:f>Base_Costos!C116</x:f>
        <x:v>COL550-8</x:v>
      </x:c>
      <x:c r="C116" s="21" t="str">
        <x:f>Base_Costos!D116</x:f>
        <x:v>CORTACERCO ELECTRICO</x:v>
      </x:c>
      <x:c r="D116" s="21" t="str">
        <x:f>Base_Costos!E116</x:f>
        <x:v>Producto para jardín, camping y exterior. Recomendado para mantenimiento de espacios verdes, uso recreativo y tareas outdoor.</x:v>
      </x:c>
      <x:c r="E116" s="22" t="n">
        <x:f>Base_Costos!H116</x:f>
        <x:v>114100</x:v>
      </x:c>
      <x:c r="F116" s="21" t="str">
        <x:v>1 unidad</x:v>
      </x:c>
      <x:c r="G116" s="21" t="n">
        <x:f>Base_Costos!O116</x:f>
        <x:v>52</x:v>
      </x:c>
      <x:c r="H116" s="21" t="str">
        <x:f>Base_Costos!N116</x:f>
        <x:v>OK</x:v>
      </x:c>
    </x:row>
    <x:row r="117">
      <x:c r="A117" s="21" t="str">
        <x:f>Base_Costos!B117</x:f>
        <x:v>Jardinería / Camping / Exterior</x:v>
      </x:c>
      <x:c r="B117" s="21" t="str">
        <x:f>Base_Costos!C117</x:f>
        <x:v>FPL7</x:v>
      </x:c>
      <x:c r="C117" s="21" t="str">
        <x:f>Base_Costos!D117</x:f>
        <x:v>FUMIGADOR PULVERIZADOR 7LTS</x:v>
      </x:c>
      <x:c r="D117" s="21" t="str">
        <x:f>Base_Costos!E117</x:f>
        <x:v>Producto para jardín, camping y exterior. Recomendado para mantenimiento de espacios verdes, uso recreativo y tareas outdoor.</x:v>
      </x:c>
      <x:c r="E117" s="22" t="n">
        <x:f>Base_Costos!H117</x:f>
        <x:v>30700</x:v>
      </x:c>
      <x:c r="F117" s="21" t="str">
        <x:v>1 unidad</x:v>
      </x:c>
      <x:c r="G117" s="21" t="n">
        <x:f>Base_Costos!O117</x:f>
        <x:v>52</x:v>
      </x:c>
      <x:c r="H117" s="21" t="str">
        <x:f>Base_Costos!N117</x:f>
        <x:v>Revisar OCR</x:v>
      </x:c>
    </x:row>
    <x:row r="118">
      <x:c r="A118" s="21" t="str">
        <x:f>Base_Costos!B118</x:f>
        <x:v>Jardinería / Camping / Exterior</x:v>
      </x:c>
      <x:c r="B118" s="21" t="str">
        <x:f>Base_Costos!C118</x:f>
        <x:v>17920</x:v>
      </x:c>
      <x:c r="C118" s="21" t="str">
        <x:f>Base_Costos!D118</x:f>
        <x:v>LINTERNA LED DE ALUMINIO CILINDRICA RECARGABLE 6000 LUMENES</x:v>
      </x:c>
      <x:c r="D118" s="21" t="str">
        <x:f>Base_Costos!E118</x:f>
        <x:v>Producto para jardín, camping y exterior. Recomendado para mantenimiento de espacios verdes, uso recreativo y tareas outdoor.</x:v>
      </x:c>
      <x:c r="E118" s="22" t="n">
        <x:f>Base_Costos!H118</x:f>
        <x:v>96200</x:v>
      </x:c>
      <x:c r="F118" s="21" t="str">
        <x:v>1 unidad</x:v>
      </x:c>
      <x:c r="G118" s="21" t="n">
        <x:f>Base_Costos!O118</x:f>
        <x:v>53</x:v>
      </x:c>
      <x:c r="H118" s="21" t="str">
        <x:f>Base_Costos!N118</x:f>
        <x:v>Revisar OCR</x:v>
      </x:c>
    </x:row>
    <x:row r="119">
      <x:c r="A119" s="21" t="str">
        <x:f>Base_Costos!B119</x:f>
        <x:v>Jardinería / Camping / Exterior</x:v>
      </x:c>
      <x:c r="B119" s="21" t="str">
        <x:f>Base_Costos!C119</x:f>
        <x:v>17909</x:v>
      </x:c>
      <x:c r="C119" s="21" t="str">
        <x:f>Base_Costos!D119</x:f>
        <x:v>LINTERNA LED RECARGABLE CON IMAN MULTIPOSIC ION</x:v>
      </x:c>
      <x:c r="D119" s="21" t="str">
        <x:f>Base_Costos!E119</x:f>
        <x:v>Producto para jardín, camping y exterior. Recomendado para mantenimiento de espacios verdes, uso recreativo y tareas outdoor.</x:v>
      </x:c>
      <x:c r="E119" s="22" t="n">
        <x:f>Base_Costos!H119</x:f>
        <x:v>21900</x:v>
      </x:c>
      <x:c r="F119" s="21" t="str">
        <x:v>1 unidad</x:v>
      </x:c>
      <x:c r="G119" s="21" t="n">
        <x:f>Base_Costos!O119</x:f>
        <x:v>53</x:v>
      </x:c>
      <x:c r="H119" s="21" t="str">
        <x:f>Base_Costos!N119</x:f>
        <x:v>OK</x:v>
      </x:c>
    </x:row>
    <x:row r="120">
      <x:c r="A120" s="21" t="str">
        <x:f>Base_Costos!B120</x:f>
        <x:v>Jardinería / Camping / Exterior</x:v>
      </x:c>
      <x:c r="B120" s="21" t="str">
        <x:f>Base_Costos!C120</x:f>
        <x:v>17905</x:v>
      </x:c>
      <x:c r="C120" s="21" t="str">
        <x:f>Base_Costos!D120</x:f>
        <x:v>LINTERNA LED VINCHA MINERO RECARGABLE</x:v>
      </x:c>
      <x:c r="D120" s="21" t="str">
        <x:f>Base_Costos!E120</x:f>
        <x:v>Producto para jardín, camping y exterior. Recomendado para mantenimiento de espacios verdes, uso recreativo y tareas outdoor.</x:v>
      </x:c>
      <x:c r="E120" s="22" t="n">
        <x:f>Base_Costos!H120</x:f>
        <x:v>21200</x:v>
      </x:c>
      <x:c r="F120" s="21" t="str">
        <x:v>1 unidad</x:v>
      </x:c>
      <x:c r="G120" s="21" t="n">
        <x:f>Base_Costos!O120</x:f>
        <x:v>53</x:v>
      </x:c>
      <x:c r="H120" s="21" t="str">
        <x:f>Base_Costos!N120</x:f>
        <x:v>Revisar OCR</x:v>
      </x:c>
    </x:row>
    <x:row r="121">
      <x:c r="A121" s="21" t="str">
        <x:f>Base_Costos!B121</x:f>
        <x:v>Jardinería / Camping / Exterior</x:v>
      </x:c>
      <x:c r="B121" s="21" t="str">
        <x:f>Base_Costos!C121</x:f>
        <x:v>17922</x:v>
      </x:c>
      <x:c r="C121" s="21" t="str">
        <x:f>Base_Costos!D121</x:f>
        <x:v>LINTERNA DE ALUMINIO CILINDRICA RECARGABLE 10 00 LUMENES</x:v>
      </x:c>
      <x:c r="D121" s="21" t="str">
        <x:f>Base_Costos!E121</x:f>
        <x:v>Producto para jardín, camping y exterior. Recomendado para mantenimiento de espacios verdes, uso recreativo y tareas outdoor.</x:v>
      </x:c>
      <x:c r="E121" s="22" t="n">
        <x:f>Base_Costos!H121</x:f>
        <x:v>51000</x:v>
      </x:c>
      <x:c r="F121" s="21" t="str">
        <x:v>1 unidad</x:v>
      </x:c>
      <x:c r="G121" s="21" t="n">
        <x:f>Base_Costos!O121</x:f>
        <x:v>54</x:v>
      </x:c>
      <x:c r="H121" s="21" t="str">
        <x:f>Base_Costos!N121</x:f>
        <x:v>Revisar OCR</x:v>
      </x:c>
    </x:row>
    <x:row r="122">
      <x:c r="A122" s="21" t="str">
        <x:f>Base_Costos!B122</x:f>
        <x:v>Jardinería / Camping / Exterior</x:v>
      </x:c>
      <x:c r="B122" s="21" t="str">
        <x:f>Base_Costos!C122</x:f>
        <x:v>17926</x:v>
      </x:c>
      <x:c r="C122" s="21" t="str">
        <x:f>Base_Costos!D122</x:f>
        <x:v>LINTERNA LED DE ALUMINIO CILINDRICA RECARGABL E 1000 LUMENES 2206</x:v>
      </x:c>
      <x:c r="D122" s="21" t="str">
        <x:f>Base_Costos!E122</x:f>
        <x:v>Producto para jardín, camping y exterior. Recomendado para mantenimiento de espacios verdes, uso recreativo y tareas outdoor.</x:v>
      </x:c>
      <x:c r="E122" s="22" t="n">
        <x:f>Base_Costos!H122</x:f>
        <x:v>34300</x:v>
      </x:c>
      <x:c r="F122" s="21" t="str">
        <x:v>1 unidad</x:v>
      </x:c>
      <x:c r="G122" s="21" t="n">
        <x:f>Base_Costos!O122</x:f>
        <x:v>54</x:v>
      </x:c>
      <x:c r="H122" s="21" t="str">
        <x:f>Base_Costos!N122</x:f>
        <x:v>OK</x:v>
      </x:c>
    </x:row>
    <x:row r="123">
      <x:c r="A123" s="21" t="str">
        <x:f>Base_Costos!B123</x:f>
        <x:v>Jardinería / Camping / Exterior</x:v>
      </x:c>
      <x:c r="B123" s="21" t="str">
        <x:f>Base_Costos!C123</x:f>
        <x:v>9034</x:v>
      </x:c>
      <x:c r="C123" s="21" t="str">
        <x:f>Base_Costos!D123</x:f>
        <x:v>TIJERA CORTA CERCO MANGO DE FIBRA PROFESIONAL</x:v>
      </x:c>
      <x:c r="D123" s="21" t="str">
        <x:f>Base_Costos!E123</x:f>
        <x:v>Producto para jardín, camping y exterior. Recomendado para mantenimiento de espacios verdes, uso recreativo y tareas outdoor.</x:v>
      </x:c>
      <x:c r="E123" s="22" t="n">
        <x:f>Base_Costos!H123</x:f>
        <x:v>43800</x:v>
      </x:c>
      <x:c r="F123" s="21" t="str">
        <x:v>1 unidad</x:v>
      </x:c>
      <x:c r="G123" s="21" t="n">
        <x:f>Base_Costos!O123</x:f>
        <x:v>54</x:v>
      </x:c>
      <x:c r="H123" s="21" t="str">
        <x:f>Base_Costos!N123</x:f>
        <x:v>Revisar OCR</x:v>
      </x:c>
    </x:row>
    <x:row r="124">
      <x:c r="A124" s="21" t="str">
        <x:f>Base_Costos!B124</x:f>
        <x:v>Jardinería / Camping / Exterior</x:v>
      </x:c>
      <x:c r="B124" s="21" t="str">
        <x:f>Base_Costos!C124</x:f>
        <x:v>L9070</x:v>
      </x:c>
      <x:c r="C124" s="21" t="str">
        <x:f>Base_Costos!D124</x:f>
        <x:v>HACHA DE MANO 600GR CABO DE FIBRA X6</x:v>
      </x:c>
      <x:c r="D124" s="21" t="str">
        <x:f>Base_Costos!E124</x:f>
        <x:v>Producto para jardín, camping y exterior. Recomendado para mantenimiento de espacios verdes, uso recreativo y tareas outdoor.</x:v>
      </x:c>
      <x:c r="E124" s="22" t="n">
        <x:f>Base_Costos!H124</x:f>
        <x:v>17500</x:v>
      </x:c>
      <x:c r="F124" s="21" t="str">
        <x:v>1 unidad</x:v>
      </x:c>
      <x:c r="G124" s="21" t="n">
        <x:f>Base_Costos!O124</x:f>
        <x:v>55</x:v>
      </x:c>
      <x:c r="H124" s="21" t="str">
        <x:f>Base_Costos!N124</x:f>
        <x:v>Revisar OCR</x:v>
      </x:c>
    </x:row>
    <x:row r="125">
      <x:c r="A125" s="21" t="str">
        <x:f>Base_Costos!B125</x:f>
        <x:v>Jardinería / Camping / Exterior</x:v>
      </x:c>
      <x:c r="B125" s="21" t="str">
        <x:f>Base_Costos!C125</x:f>
        <x:v>L9031</x:v>
      </x:c>
      <x:c r="C125" s="21" t="str">
        <x:f>Base_Costos!D125</x:f>
        <x:v>TIJERA DE CERCO 24"</x:v>
      </x:c>
      <x:c r="D125" s="21" t="str">
        <x:f>Base_Costos!E125</x:f>
        <x:v>Producto para jardín, camping y exterior. Recomendado para mantenimiento de espacios verdes, uso recreativo y tareas outdoor.</x:v>
      </x:c>
      <x:c r="E125" s="22" t="n">
        <x:f>Base_Costos!H125</x:f>
        <x:v>30500</x:v>
      </x:c>
      <x:c r="F125" s="21" t="str">
        <x:v>1 unidad</x:v>
      </x:c>
      <x:c r="G125" s="21" t="n">
        <x:f>Base_Costos!O125</x:f>
        <x:v>55</x:v>
      </x:c>
      <x:c r="H125" s="21" t="str">
        <x:f>Base_Costos!N125</x:f>
        <x:v>OK</x:v>
      </x:c>
    </x:row>
    <x:row r="126">
      <x:c r="A126" s="21" t="str">
        <x:f>Base_Costos!B126</x:f>
        <x:v>Jardinería / Camping / Exterior</x:v>
      </x:c>
      <x:c r="B126" s="21" t="str">
        <x:f>Base_Costos!C126</x:f>
        <x:v>L9051</x:v>
      </x:c>
      <x:c r="C126" s="21" t="str">
        <x:f>Base_Costos!D126</x:f>
        <x:v>TIJERA PARA RAMAS 30"</x:v>
      </x:c>
      <x:c r="D126" s="21" t="str">
        <x:f>Base_Costos!E126</x:f>
        <x:v>Producto para jardín, camping y exterior. Recomendado para mantenimiento de espacios verdes, uso recreativo y tareas outdoor.</x:v>
      </x:c>
      <x:c r="E126" s="22" t="n">
        <x:f>Base_Costos!H126</x:f>
        <x:v>34900</x:v>
      </x:c>
      <x:c r="F126" s="21" t="str">
        <x:v>1 unidad</x:v>
      </x:c>
      <x:c r="G126" s="21" t="n">
        <x:f>Base_Costos!O126</x:f>
        <x:v>55</x:v>
      </x:c>
      <x:c r="H126" s="21" t="str">
        <x:f>Base_Costos!N126</x:f>
        <x:v>Revisar OCR</x:v>
      </x:c>
    </x:row>
    <x:row r="127">
      <x:c r="A127" s="21" t="str">
        <x:f>Base_Costos!B127</x:f>
        <x:v>Jardinería / Camping / Exterior</x:v>
      </x:c>
      <x:c r="B127" s="21" t="str">
        <x:f>Base_Costos!C127</x:f>
        <x:v>L9071</x:v>
      </x:c>
      <x:c r="C127" s="21" t="str">
        <x:f>Base_Costos!D127</x:f>
        <x:v>HACHA DE MANO 680 GRS X6</x:v>
      </x:c>
      <x:c r="D127" s="21" t="str">
        <x:f>Base_Costos!E127</x:f>
        <x:v>Producto para jardín, camping y exterior. Recomendado para mantenimiento de espacios verdes, uso recreativo y tareas outdoor.</x:v>
      </x:c>
      <x:c r="E127" s="22" t="n">
        <x:f>Base_Costos!H127</x:f>
        <x:v>13500</x:v>
      </x:c>
      <x:c r="F127" s="21" t="str">
        <x:v>1 unidad</x:v>
      </x:c>
      <x:c r="G127" s="21" t="n">
        <x:f>Base_Costos!O127</x:f>
        <x:v>56</x:v>
      </x:c>
      <x:c r="H127" s="21" t="str">
        <x:f>Base_Costos!N127</x:f>
        <x:v>OK</x:v>
      </x:c>
    </x:row>
    <x:row r="128">
      <x:c r="A128" s="21" t="str">
        <x:f>Base_Costos!B128</x:f>
        <x:v>Jardinería / Camping / Exterior</x:v>
      </x:c>
      <x:c r="B128" s="21" t="str">
        <x:f>Base_Costos!C128</x:f>
        <x:v>MATLB3E-9</x:v>
      </x:c>
      <x:c r="C128" s="21" t="str">
        <x:f>Base_Costos!D128</x:f>
        <x:v>MATE 300ML BLANCO 3 ESTRELLAS</x:v>
      </x:c>
      <x:c r="D128" s="21" t="str">
        <x:f>Base_Costos!E128</x:f>
        <x:v>Producto para jardín, camping y exterior. Recomendado para mantenimiento de espacios verdes, uso recreativo y tareas outdoor.</x:v>
      </x:c>
      <x:c r="E128" s="22" t="n">
        <x:f>Base_Costos!H128</x:f>
        <x:v>20100</x:v>
      </x:c>
      <x:c r="F128" s="21" t="str">
        <x:v>1 unidad</x:v>
      </x:c>
      <x:c r="G128" s="21" t="n">
        <x:f>Base_Costos!O128</x:f>
        <x:v>56</x:v>
      </x:c>
      <x:c r="H128" s="21" t="str">
        <x:f>Base_Costos!N128</x:f>
        <x:v>OK</x:v>
      </x:c>
    </x:row>
    <x:row r="129">
      <x:c r="A129" s="21" t="str">
        <x:f>Base_Costos!B129</x:f>
        <x:v>Jardinería / Camping / Exterior</x:v>
      </x:c>
      <x:c r="B129" s="21" t="str">
        <x:f>Base_Costos!C129</x:f>
        <x:v>MATLC-9</x:v>
      </x:c>
      <x:c r="C129" s="21" t="str">
        <x:f>Base_Costos!D129</x:f>
        <x:v>MATE 300ML CAMUFLADO</x:v>
      </x:c>
      <x:c r="D129" s="21" t="str">
        <x:f>Base_Costos!E129</x:f>
        <x:v>Producto para jardín, camping y exterior. Recomendado para mantenimiento de espacios verdes, uso recreativo y tareas outdoor.</x:v>
      </x:c>
      <x:c r="E129" s="22" t="n">
        <x:f>Base_Costos!H129</x:f>
        <x:v>20100</x:v>
      </x:c>
      <x:c r="F129" s="21" t="str">
        <x:v>1 unidad</x:v>
      </x:c>
      <x:c r="G129" s="21" t="n">
        <x:f>Base_Costos!O129</x:f>
        <x:v>56</x:v>
      </x:c>
      <x:c r="H129" s="21" t="str">
        <x:f>Base_Costos!N129</x:f>
        <x:v>OK</x:v>
      </x:c>
    </x:row>
    <x:row r="130">
      <x:c r="A130" s="21" t="str">
        <x:f>Base_Costos!B130</x:f>
        <x:v>Jardinería / Camping / Exterior</x:v>
      </x:c>
      <x:c r="B130" s="21" t="str">
        <x:f>Base_Costos!C130</x:f>
        <x:v>MATLR-9</x:v>
      </x:c>
      <x:c r="C130" s="21" t="str">
        <x:f>Base_Costos!D130</x:f>
        <x:v>MATE 300ML COLOR ROSA</x:v>
      </x:c>
      <x:c r="D130" s="21" t="str">
        <x:f>Base_Costos!E130</x:f>
        <x:v>Producto para jardín, camping y exterior. Recomendado para mantenimiento de espacios verdes, uso recreativo y tareas outdoor.</x:v>
      </x:c>
      <x:c r="E130" s="22" t="n">
        <x:f>Base_Costos!H130</x:f>
        <x:v>8800</x:v>
      </x:c>
      <x:c r="F130" s="21" t="str">
        <x:v>1 unidad</x:v>
      </x:c>
      <x:c r="G130" s="21" t="n">
        <x:f>Base_Costos!O130</x:f>
        <x:v>57</x:v>
      </x:c>
      <x:c r="H130" s="21" t="str">
        <x:f>Base_Costos!N130</x:f>
        <x:v>Revisar OCR</x:v>
      </x:c>
    </x:row>
    <x:row r="131">
      <x:c r="A131" s="21" t="str">
        <x:f>Base_Costos!B131</x:f>
        <x:v>Jardinería / Camping / Exterior</x:v>
      </x:c>
      <x:c r="B131" s="21" t="str">
        <x:f>Base_Costos!C131</x:f>
        <x:v>TL1-9R</x:v>
      </x:c>
      <x:c r="C131" s="21" t="str">
        <x:f>Base_Costos!D131</x:f>
        <x:v>TERMO 1 LITRO ROSA</x:v>
      </x:c>
      <x:c r="D131" s="21" t="str">
        <x:f>Base_Costos!E131</x:f>
        <x:v>Producto para jardín, camping y exterior. Recomendado para mantenimiento de espacios verdes, uso recreativo y tareas outdoor.</x:v>
      </x:c>
      <x:c r="E131" s="22" t="n">
        <x:f>Base_Costos!H131</x:f>
        <x:v>34900</x:v>
      </x:c>
      <x:c r="F131" s="21" t="str">
        <x:v>1 unidad</x:v>
      </x:c>
      <x:c r="G131" s="21" t="n">
        <x:f>Base_Costos!O131</x:f>
        <x:v>57</x:v>
      </x:c>
      <x:c r="H131" s="21" t="str">
        <x:f>Base_Costos!N131</x:f>
        <x:v>OK</x:v>
      </x:c>
    </x:row>
    <x:row r="132">
      <x:c r="A132" s="21" t="str">
        <x:f>Base_Costos!B132</x:f>
        <x:v>Jardinería / Camping / Exterior</x:v>
      </x:c>
      <x:c r="B132" s="21" t="str">
        <x:f>Base_Costos!C132</x:f>
        <x:v>TLI-9B</x:v>
      </x:c>
      <x:c r="C132" s="21" t="str">
        <x:f>Base_Costos!D132</x:f>
        <x:v>TERMO INOX. 1 COLOR BLANCO</x:v>
      </x:c>
      <x:c r="D132" s="21" t="str">
        <x:f>Base_Costos!E132</x:f>
        <x:v>Producto para jardín, camping y exterior. Recomendado para mantenimiento de espacios verdes, uso recreativo y tareas outdoor.</x:v>
      </x:c>
      <x:c r="E132" s="22" t="n">
        <x:f>Base_Costos!H132</x:f>
        <x:v>34900</x:v>
      </x:c>
      <x:c r="F132" s="21" t="str">
        <x:v>1 unidad</x:v>
      </x:c>
      <x:c r="G132" s="21" t="n">
        <x:f>Base_Costos!O132</x:f>
        <x:v>57</x:v>
      </x:c>
      <x:c r="H132" s="21" t="str">
        <x:f>Base_Costos!N132</x:f>
        <x:v>OK</x:v>
      </x:c>
    </x:row>
    <x:row r="133">
      <x:c r="A133" s="21" t="str">
        <x:f>Base_Costos!B133</x:f>
        <x:v>Jardinería / Camping / Exterior</x:v>
      </x:c>
      <x:c r="B133" s="21" t="str">
        <x:f>Base_Costos!C133</x:f>
        <x:v>TTL420-88</x:v>
      </x:c>
      <x:c r="C133" s="21" t="str">
        <x:f>Base_Costos!D133</x:f>
        <x:v>TAZA TERMICA BLANCA 420 ML CON TAPA</x:v>
      </x:c>
      <x:c r="D133" s="21" t="str">
        <x:f>Base_Costos!E133</x:f>
        <x:v>Producto Lusqtoff para uso profesional, taller, hogar o mantenimiento. Consultar disponibilidad y garantía oficial.</x:v>
      </x:c>
      <x:c r="E133" s="22" t="n">
        <x:f>Base_Costos!H133</x:f>
        <x:v>17900</x:v>
      </x:c>
      <x:c r="F133" s="21" t="str">
        <x:v>1 unidad</x:v>
      </x:c>
      <x:c r="G133" s="21" t="n">
        <x:f>Base_Costos!O133</x:f>
        <x:v>58</x:v>
      </x:c>
      <x:c r="H133" s="21" t="str">
        <x:f>Base_Costos!N133</x:f>
        <x:v>OK</x:v>
      </x:c>
    </x:row>
    <x:row r="134">
      <x:c r="A134" s="21" t="str">
        <x:f>Base_Costos!B134</x:f>
        <x:v>Jardinería / Camping / Exterior</x:v>
      </x:c>
      <x:c r="B134" s="21" t="str">
        <x:f>Base_Costos!C134</x:f>
        <x:v>TTL420-8N</x:v>
      </x:c>
      <x:c r="C134" s="21" t="str">
        <x:f>Base_Costos!D134</x:f>
        <x:v>TAZA TERMICA NEGRO 420 ML CON TAPA</x:v>
      </x:c>
      <x:c r="D134" s="21" t="str">
        <x:f>Base_Costos!E134</x:f>
        <x:v>Producto Lusqtoff para uso profesional, taller, hogar o mantenimiento. Consultar disponibilidad y garantía oficial.</x:v>
      </x:c>
      <x:c r="E134" s="22" t="n">
        <x:f>Base_Costos!H134</x:f>
        <x:v>17900</x:v>
      </x:c>
      <x:c r="F134" s="21" t="str">
        <x:v>1 unidad</x:v>
      </x:c>
      <x:c r="G134" s="21" t="n">
        <x:f>Base_Costos!O134</x:f>
        <x:v>58</x:v>
      </x:c>
      <x:c r="H134" s="21" t="str">
        <x:f>Base_Costos!N134</x:f>
        <x:v>Revisar OCR</x:v>
      </x:c>
    </x:row>
    <x:row r="135">
      <x:c r="A135" s="21" t="str">
        <x:f>Base_Costos!B135</x:f>
        <x:v>Jardinería / Camping / Exterior</x:v>
      </x:c>
      <x:c r="B135" s="21" t="str">
        <x:f>Base_Costos!C135</x:f>
        <x:v>TLI-9NJ</x:v>
      </x:c>
      <x:c r="C135" s="21" t="str">
        <x:f>Base_Costos!D135</x:f>
        <x:v>TERMO NARANJA 1LTS</x:v>
      </x:c>
      <x:c r="D135" s="21" t="str">
        <x:f>Base_Costos!E135</x:f>
        <x:v>Producto para jardín, camping y exterior. Recomendado para mantenimiento de espacios verdes, uso recreativo y tareas outdoor.</x:v>
      </x:c>
      <x:c r="E135" s="22" t="n">
        <x:f>Base_Costos!H135</x:f>
        <x:v>34900</x:v>
      </x:c>
      <x:c r="F135" s="21" t="str">
        <x:v>1 unidad</x:v>
      </x:c>
      <x:c r="G135" s="21" t="n">
        <x:f>Base_Costos!O135</x:f>
        <x:v>58</x:v>
      </x:c>
      <x:c r="H135" s="21" t="str">
        <x:f>Base_Costos!N135</x:f>
        <x:v>OK</x:v>
      </x:c>
    </x:row>
    <x:row r="136">
      <x:c r="A136" s="21" t="str">
        <x:f>Base_Costos!B136</x:f>
        <x:v>Accesorios / Consumibles</x:v>
      </x:c>
      <x:c r="B136" s="21" t="str">
        <x:f>Base_Costos!C136</x:f>
      </x:c>
      <x:c r="C136" s="21" t="str">
        <x:f>Base_Costos!D136</x:f>
        <x:v>Aceite lubricante ACLUD1000 X unidad</x:v>
      </x:c>
      <x:c r="D136" s="21" t="str">
        <x:f>Base_Costos!E136</x:f>
        <x:v>Consumible o accesorio complementario para reposición, mantenimiento y venta por rotación.</x:v>
      </x:c>
      <x:c r="E136" s="22" t="n">
        <x:f>Base_Costos!H136</x:f>
        <x:v>15100</x:v>
      </x:c>
      <x:c r="F136" s="21" t="str">
        <x:v>Consultar por caja/lote</x:v>
      </x:c>
      <x:c r="G136" s="21" t="n">
        <x:f>Base_Costos!O136</x:f>
        <x:v>59</x:v>
      </x:c>
      <x:c r="H136" s="21" t="str">
        <x:f>Base_Costos!N136</x:f>
        <x:v>OK</x:v>
      </x:c>
    </x:row>
    <x:row r="137">
      <x:c r="A137" s="21" t="str">
        <x:f>Base_Costos!B137</x:f>
        <x:v>Accesorios / Consumibles</x:v>
      </x:c>
      <x:c r="B137" s="21" t="str">
        <x:f>Base_Costos!C137</x:f>
        <x:v>ACL40</x:v>
      </x:c>
      <x:c r="C137" s="21" t="str">
        <x:f>Base_Costos!D137</x:f>
        <x:v>LUBRICANTE MULTIPROPOSITO AEROSOL 415CC</x:v>
      </x:c>
      <x:c r="D137" s="21" t="str">
        <x:f>Base_Costos!E137</x:f>
        <x:v>Consumible o accesorio complementario para reposición, mantenimiento y venta por rotación.</x:v>
      </x:c>
      <x:c r="E137" s="22" t="n">
        <x:f>Base_Costos!H137</x:f>
        <x:v>6000</x:v>
      </x:c>
      <x:c r="F137" s="21" t="str">
        <x:v>Consultar por caja/lote</x:v>
      </x:c>
      <x:c r="G137" s="21" t="n">
        <x:f>Base_Costos!O137</x:f>
        <x:v>59</x:v>
      </x:c>
      <x:c r="H137" s="21" t="str">
        <x:f>Base_Costos!N137</x:f>
        <x:v>OK</x:v>
      </x:c>
    </x:row>
    <x:row r="138">
      <x:c r="A138" s="21" t="str">
        <x:f>Base_Costos!B138</x:f>
        <x:v>Accesorios / Consumibles</x:v>
      </x:c>
      <x:c r="B138" s="21" t="str">
        <x:f>Base_Costos!C138</x:f>
        <x:v>DAL1151610</x:v>
      </x:c>
      <x:c r="C138" s="21" t="str">
        <x:f>Base_Costos!D138</x:f>
        <x:v>DISCOS ABRASIVO DE CORTE LATA X10 115*1,6</x:v>
      </x:c>
      <x:c r="D138" s="21" t="str">
        <x:f>Base_Costos!E138</x:f>
        <x:v>Producto orientado a corte, desbaste y terminación. Recomendado para metal, obra y mantenimiento general.</x:v>
      </x:c>
      <x:c r="E138" s="22" t="n">
        <x:f>Base_Costos!H138</x:f>
        <x:v>7600</x:v>
      </x:c>
      <x:c r="F138" s="21" t="str">
        <x:v>Consultar por caja/lote</x:v>
      </x:c>
      <x:c r="G138" s="21" t="n">
        <x:f>Base_Costos!O138</x:f>
        <x:v>60</x:v>
      </x:c>
      <x:c r="H138" s="21" t="str">
        <x:f>Base_Costos!N138</x:f>
        <x:v>Revisar OCR</x:v>
      </x:c>
    </x:row>
    <x:row r="139">
      <x:c r="A139" s="21" t="str">
        <x:f>Base_Costos!B139</x:f>
        <x:v>Accesorios / Consumibles</x:v>
      </x:c>
      <x:c r="B139" s="21" t="str">
        <x:f>Base_Costos!C139</x:f>
        <x:v>DAL1151250</x:v>
      </x:c>
      <x:c r="C139" s="21" t="str">
        <x:f>Base_Costos!D139</x:f>
        <x:v>DISCOS ABRASIVO DE CORTE LATA X50 115*1,2</x:v>
      </x:c>
      <x:c r="D139" s="21" t="str">
        <x:f>Base_Costos!E139</x:f>
        <x:v>Producto orientado a corte, desbaste y terminación. Recomendado para metal, obra y mantenimiento general.</x:v>
      </x:c>
      <x:c r="E139" s="22" t="n">
        <x:f>Base_Costos!H139</x:f>
        <x:v>33200</x:v>
      </x:c>
      <x:c r="F139" s="21" t="str">
        <x:v>Consultar por caja/lote</x:v>
      </x:c>
      <x:c r="G139" s="21" t="n">
        <x:f>Base_Costos!O139</x:f>
        <x:v>60</x:v>
      </x:c>
      <x:c r="H139" s="21" t="str">
        <x:f>Base_Costos!N139</x:f>
        <x:v>Revisar OCR</x:v>
      </x:c>
    </x:row>
    <x:row r="140">
      <x:c r="A140" s="21" t="str">
        <x:f>Base_Costos!B140</x:f>
        <x:v>Accesorios / Consumibles</x:v>
      </x:c>
      <x:c r="B140" s="21" t="str">
        <x:f>Base_Costos!C140</x:f>
        <x:v>COR100-9</x:v>
      </x:c>
      <x:c r="C140" s="21" t="str">
        <x:f>Base_Costos!D140</x:f>
        <x:v>cepillo copa risado 100mm.</x:v>
      </x:c>
      <x:c r="D140" s="21" t="str">
        <x:f>Base_Costos!E140</x:f>
        <x:v>Producto Lusqtoff para uso profesional, taller, hogar o mantenimiento. Consultar disponibilidad y garantía oficial.</x:v>
      </x:c>
      <x:c r="E140" s="22" t="n">
        <x:f>Base_Costos!H140</x:f>
        <x:v>6500</x:v>
      </x:c>
      <x:c r="F140" s="21" t="str">
        <x:v>Consultar por caja/lote</x:v>
      </x:c>
      <x:c r="G140" s="21" t="n">
        <x:f>Base_Costos!O140</x:f>
        <x:v>60</x:v>
      </x:c>
      <x:c r="H140" s="21" t="str">
        <x:f>Base_Costos!N140</x:f>
        <x:v>OK</x:v>
      </x:c>
    </x:row>
    <x:row r="141">
      <x:c r="A141" s="21" t="str">
        <x:f>Base_Costos!B141</x:f>
        <x:v>Accesorios / Consumibles</x:v>
      </x:c>
      <x:c r="B141" s="21" t="str">
        <x:f>Base_Costos!C141</x:f>
        <x:v>DAL1151650</x:v>
      </x:c>
      <x:c r="C141" s="21" t="str">
        <x:f>Base_Costos!D141</x:f>
        <x:v>DISCOS ABRASIVO DE CORTE LATA X50 115*1,6</x:v>
      </x:c>
      <x:c r="D141" s="21" t="str">
        <x:f>Base_Costos!E141</x:f>
        <x:v>Producto orientado a corte, desbaste y terminación. Recomendado para metal, obra y mantenimiento general.</x:v>
      </x:c>
      <x:c r="E141" s="22" t="n">
        <x:f>Base_Costos!H141</x:f>
        <x:v>32400</x:v>
      </x:c>
      <x:c r="F141" s="21" t="str">
        <x:v>Consultar por caja/lote</x:v>
      </x:c>
      <x:c r="G141" s="21" t="n">
        <x:f>Base_Costos!O141</x:f>
        <x:v>61</x:v>
      </x:c>
      <x:c r="H141" s="21" t="str">
        <x:f>Base_Costos!N141</x:f>
        <x:v>Revisar OCR</x:v>
      </x:c>
    </x:row>
    <x:row r="142">
      <x:c r="A142" s="21" t="str">
        <x:f>Base_Costos!B142</x:f>
        <x:v>Accesorios / Consumibles</x:v>
      </x:c>
      <x:c r="B142" s="21" t="str">
        <x:f>Base_Costos!C142</x:f>
        <x:v>DDS2301-9</x:v>
      </x:c>
      <x:c r="C142" s="21" t="str">
        <x:f>Base_Costos!D142</x:f>
        <x:v>Disco diamantado segmentado 230mm,</x:v>
      </x:c>
      <x:c r="D142" s="21" t="str">
        <x:f>Base_Costos!E142</x:f>
        <x:v>Producto orientado a corte, desbaste y terminación. Recomendado para metal, obra y mantenimiento general.</x:v>
      </x:c>
      <x:c r="E142" s="22" t="n">
        <x:f>Base_Costos!H142</x:f>
        <x:v>2500</x:v>
      </x:c>
      <x:c r="F142" s="21" t="str">
        <x:v>Consultar por caja/lote</x:v>
      </x:c>
      <x:c r="G142" s="21" t="n">
        <x:f>Base_Costos!O142</x:f>
        <x:v>61</x:v>
      </x:c>
      <x:c r="H142" s="21" t="str">
        <x:f>Base_Costos!N142</x:f>
        <x:v>Revisar OCR</x:v>
      </x:c>
    </x:row>
    <x:row r="143">
      <x:c r="A143" s="21" t="str">
        <x:f>Base_Costos!B143</x:f>
        <x:v>Accesorios / Consumibles</x:v>
      </x:c>
      <x:c r="B143" s="21" t="str">
        <x:f>Base_Costos!C143</x:f>
        <x:v>DDST15-9</x:v>
      </x:c>
      <x:c r="C143" s="21" t="str">
        <x:f>Base_Costos!D143</x:f>
        <x:v>disco diamantado segmentado 115mm.</x:v>
      </x:c>
      <x:c r="D143" s="21" t="str">
        <x:f>Base_Costos!E143</x:f>
        <x:v>Producto orientado a corte, desbaste y terminación. Recomendado para metal, obra y mantenimiento general.</x:v>
      </x:c>
      <x:c r="E143" s="22" t="n">
        <x:f>Base_Costos!H143</x:f>
        <x:v>5500</x:v>
      </x:c>
      <x:c r="F143" s="21" t="str">
        <x:v>Consultar por caja/lote</x:v>
      </x:c>
      <x:c r="G143" s="21" t="n">
        <x:f>Base_Costos!O143</x:f>
        <x:v>61</x:v>
      </x:c>
      <x:c r="H143" s="21" t="str">
        <x:f>Base_Costos!N143</x:f>
        <x:v>OK</x:v>
      </x:c>
    </x:row>
    <x:row r="144">
      <x:c r="A144" s="21" t="str">
        <x:f>Base_Costos!B144</x:f>
        <x:v>Accesorios / Consumibles</x:v>
      </x:c>
      <x:c r="B144" s="21" t="str">
        <x:f>Base_Costos!C144</x:f>
        <x:v>DMP115-9</x:v>
      </x:c>
      <x:c r="C144" s="21" t="str">
        <x:f>Base_Costos!D144</x:f>
        <x:v>DISCO DE CORTE MULTIPROPOSITO 115MM</x:v>
      </x:c>
      <x:c r="D144" s="21" t="str">
        <x:f>Base_Costos!E144</x:f>
        <x:v>Producto orientado a corte, desbaste y terminación. Recomendado para metal, obra y mantenimiento general.</x:v>
      </x:c>
      <x:c r="E144" s="22" t="n">
        <x:f>Base_Costos!H144</x:f>
        <x:v>6600</x:v>
      </x:c>
      <x:c r="F144" s="21" t="str">
        <x:v>Consultar por caja/lote</x:v>
      </x:c>
      <x:c r="G144" s="21" t="n">
        <x:f>Base_Costos!O144</x:f>
        <x:v>62</x:v>
      </x:c>
      <x:c r="H144" s="21" t="str">
        <x:f>Base_Costos!N144</x:f>
        <x:v>OK</x:v>
      </x:c>
    </x:row>
    <x:row r="145">
      <x:c r="A145" s="21" t="str">
        <x:f>Base_Costos!B145</x:f>
        <x:v>Accesorios / Consumibles</x:v>
      </x:c>
      <x:c r="B145" s="21" t="str">
        <x:f>Base_Costos!C145</x:f>
        <x:v>DMS115-9</x:v>
      </x:c>
      <x:c r="C145" s="21" t="str">
        <x:f>Base_Costos!D145</x:f>
        <x:v>DISCO DE CORTE PARA MADERA 115MM X10 UNIDADES</x:v>
      </x:c>
      <x:c r="D145" s="21" t="str">
        <x:f>Base_Costos!E145</x:f>
        <x:v>Producto orientado a corte, desbaste y terminación. Recomendado para metal, obra y mantenimiento general.</x:v>
      </x:c>
      <x:c r="E145" s="22" t="n">
        <x:f>Base_Costos!H145</x:f>
        <x:v>5900</x:v>
      </x:c>
      <x:c r="F145" s="21" t="str">
        <x:v>Consultar por caja/lote</x:v>
      </x:c>
      <x:c r="G145" s="21" t="n">
        <x:f>Base_Costos!O145</x:f>
        <x:v>62</x:v>
      </x:c>
      <x:c r="H145" s="21" t="str">
        <x:f>Base_Costos!N145</x:f>
        <x:v>OK</x:v>
      </x:c>
    </x:row>
    <x:row r="146">
      <x:c r="A146" s="21" t="str">
        <x:f>Base_Costos!B146</x:f>
        <x:v>Accesorios / Consumibles</x:v>
      </x:c>
      <x:c r="B146" s="21" t="str">
        <x:f>Base_Costos!C146</x:f>
        <x:v>DDT115P-9</x:v>
      </x:c>
      <x:c r="C146" s="21" t="str">
        <x:f>Base_Costos!D146</x:f>
        <x:v>DISCO DIAMANTADO TURBO FINO 115mm X10 U NIDADES</x:v>
      </x:c>
      <x:c r="D146" s="21" t="str">
        <x:f>Base_Costos!E146</x:f>
        <x:v>Producto orientado a corte, desbaste y terminación. Recomendado para metal, obra y mantenimiento general.</x:v>
      </x:c>
      <x:c r="E146" s="22" t="n">
        <x:f>Base_Costos!H146</x:f>
        <x:v>7100</x:v>
      </x:c>
      <x:c r="F146" s="21" t="str">
        <x:v>Consultar por caja/lote</x:v>
      </x:c>
      <x:c r="G146" s="21" t="n">
        <x:f>Base_Costos!O146</x:f>
        <x:v>62</x:v>
      </x:c>
      <x:c r="H146" s="21" t="str">
        <x:f>Base_Costos!N146</x:f>
        <x:v>OK</x:v>
      </x:c>
    </x:row>
    <x:row r="147">
      <x:c r="A147" s="21" t="str">
        <x:f>Base_Costos!B147</x:f>
        <x:v>Accesorios / Consumibles</x:v>
      </x:c>
      <x:c r="B147" s="21" t="str">
        <x:f>Base_Costos!C147</x:f>
        <x:v>LQFLAP60</x:v>
      </x:c>
      <x:c r="C147" s="21" t="str">
        <x:f>Base_Costos!D147</x:f>
        <x:v>Disco Flap GR60 Zirconio</x:v>
      </x:c>
      <x:c r="D147" s="21" t="str">
        <x:f>Base_Costos!E147</x:f>
        <x:v>Producto orientado a corte, desbaste y terminación. Recomendado para metal, obra y mantenimiento general.</x:v>
      </x:c>
      <x:c r="E147" s="22" t="n">
        <x:f>Base_Costos!H147</x:f>
        <x:v>2100</x:v>
      </x:c>
      <x:c r="F147" s="21" t="str">
        <x:v>Consultar por caja/lote</x:v>
      </x:c>
      <x:c r="G147" s="21" t="n">
        <x:f>Base_Costos!O147</x:f>
        <x:v>63</x:v>
      </x:c>
      <x:c r="H147" s="21" t="str">
        <x:f>Base_Costos!N147</x:f>
        <x:v>Revisar OCR</x:v>
      </x:c>
    </x:row>
    <x:row r="148">
      <x:c r="A148" s="21" t="str">
        <x:f>Base_Costos!B148</x:f>
        <x:v>Accesorios / Consumibles</x:v>
      </x:c>
      <x:c r="B148" s="21" t="str">
        <x:f>Base_Costos!C148</x:f>
        <x:v>DVC115-9</x:v>
      </x:c>
      <x:c r="C148" s="21" t="str">
        <x:f>Base_Costos!D148</x:f>
        <x:v>Disco de Corte para Vidrio</x:v>
      </x:c>
      <x:c r="D148" s="21" t="str">
        <x:f>Base_Costos!E148</x:f>
        <x:v>Producto orientado a corte, desbaste y terminación. Recomendado para metal, obra y mantenimiento general.</x:v>
      </x:c>
      <x:c r="E148" s="22" t="n">
        <x:f>Base_Costos!H148</x:f>
        <x:v>6600</x:v>
      </x:c>
      <x:c r="F148" s="21" t="str">
        <x:v>Consultar por caja/lote</x:v>
      </x:c>
      <x:c r="G148" s="21" t="n">
        <x:f>Base_Costos!O148</x:f>
        <x:v>63</x:v>
      </x:c>
      <x:c r="H148" s="21" t="str">
        <x:f>Base_Costos!N148</x:f>
        <x:v>OK</x:v>
      </x:c>
    </x:row>
    <x:row r="149">
      <x:c r="A149" s="21" t="str">
        <x:f>Base_Costos!B149</x:f>
        <x:v>Accesorios / Consumibles</x:v>
      </x:c>
      <x:c r="B149" s="21" t="str">
        <x:f>Base_Costos!C149</x:f>
        <x:v>EEPGP500</x:v>
      </x:c>
      <x:c r="C149" s="21" t="str">
        <x:f>Base_Costos!D149</x:f>
        <x:v>ESPUMA DE POLIURETANO 500ML GARDEN PLU SCAJA X12</x:v>
      </x:c>
      <x:c r="D149" s="21" t="str">
        <x:f>Base_Costos!E149</x:f>
        <x:v>Herramienta o conjunto para organización y trabajo de taller. Producto práctico para mecánica, mantenimiento y uso profesional.</x:v>
      </x:c>
      <x:c r="E149" s="22" t="n">
        <x:f>Base_Costos!H149</x:f>
        <x:v>73400</x:v>
      </x:c>
      <x:c r="F149" s="21" t="str">
        <x:v>Consultar por caja/lote</x:v>
      </x:c>
      <x:c r="G149" s="21" t="n">
        <x:f>Base_Costos!O149</x:f>
        <x:v>63</x:v>
      </x:c>
      <x:c r="H149" s="21" t="str">
        <x:f>Base_Costos!N149</x:f>
        <x:v>Revisar OCR</x:v>
      </x:c>
    </x:row>
    <x:row r="150">
      <x:c r="A150" s="21" t="str">
        <x:f>Base_Costos!B150</x:f>
        <x:v>Accesorios / Consumibles</x:v>
      </x:c>
      <x:c r="B150" s="21" t="str">
        <x:f>Base_Costos!C150</x:f>
        <x:v>EEPGP750</x:v>
      </x:c>
      <x:c r="C150" s="21" t="str">
        <x:f>Base_Costos!D150</x:f>
        <x:v>ESPUMA DE POLIURETANO 750ML GARDEN PLUS CAJA X12</x:v>
      </x:c>
      <x:c r="D150" s="21" t="str">
        <x:f>Base_Costos!E150</x:f>
        <x:v>Herramienta o conjunto para organización y trabajo de taller. Producto práctico para mecánica, mantenimiento y uso profesional.</x:v>
      </x:c>
      <x:c r="E150" s="22" t="n">
        <x:f>Base_Costos!H150</x:f>
        <x:v>94400</x:v>
      </x:c>
      <x:c r="F150" s="21" t="str">
        <x:v>Consultar por caja/lote</x:v>
      </x:c>
      <x:c r="G150" s="21" t="n">
        <x:f>Base_Costos!O150</x:f>
        <x:v>64</x:v>
      </x:c>
      <x:c r="H150" s="21" t="str">
        <x:f>Base_Costos!N150</x:f>
        <x:v>Revisar OCR</x:v>
      </x:c>
    </x:row>
    <x:row r="151">
      <x:c r="A151" s="21" t="str">
        <x:f>Base_Costos!B151</x:f>
        <x:v>Accesorios / Consumibles</x:v>
      </x:c>
      <x:c r="B151" s="21" t="str">
        <x:f>Base_Costos!C151</x:f>
      </x:c>
      <x:c r="C151" s="21" t="str">
        <x:f>Base_Costos!D151</x:f>
        <x:v>ESPUMA EXPANSIVA BRIXTER 300ML (Caja 12 unidades)</x:v>
      </x:c>
      <x:c r="D151" s="21" t="str">
        <x:f>Base_Costos!E151</x:f>
        <x:v>Herramienta o conjunto para organización y trabajo de taller. Producto práctico para mecánica, mantenimiento y uso profesional.</x:v>
      </x:c>
      <x:c r="E151" s="22" t="n">
        <x:f>Base_Costos!H151</x:f>
        <x:v>4200</x:v>
      </x:c>
      <x:c r="F151" s="21" t="str">
        <x:v>Consultar por caja/lote</x:v>
      </x:c>
      <x:c r="G151" s="21" t="n">
        <x:f>Base_Costos!O151</x:f>
        <x:v>64</x:v>
      </x:c>
      <x:c r="H151" s="21" t="str">
        <x:f>Base_Costos!N151</x:f>
        <x:v>OK</x:v>
      </x:c>
    </x:row>
    <x:row r="152">
      <x:c r="A152" s="21" t="str">
        <x:f>Base_Costos!B152</x:f>
        <x:v>Accesorios / Consumibles</x:v>
      </x:c>
      <x:c r="B152" s="21" t="str">
        <x:f>Base_Costos!C152</x:f>
        <x:v>TR240L-9</x:v>
      </x:c>
      <x:c r="C152" s="21" t="str">
        <x:f>Base_Costos!D152</x:f>
        <x:v>TANZA AMARILLA PERFIL REDONDO 2.4mm,</x:v>
      </x:c>
      <x:c r="D152" s="21" t="str">
        <x:f>Base_Costos!E152</x:f>
        <x:v>Consumible o accesorio complementario para reposición, mantenimiento y venta por rotación.</x:v>
      </x:c>
      <x:c r="E152" s="22" t="n">
        <x:f>Base_Costos!H152</x:f>
        <x:v>25400</x:v>
      </x:c>
      <x:c r="F152" s="21" t="str">
        <x:v>Consultar por caja/lote</x:v>
      </x:c>
      <x:c r="G152" s="21" t="n">
        <x:f>Base_Costos!O152</x:f>
        <x:v>64</x:v>
      </x:c>
      <x:c r="H152" s="21" t="str">
        <x:f>Base_Costos!N152</x:f>
        <x:v>Revisar OCR</x:v>
      </x:c>
    </x:row>
    <x:row r="153">
      <x:c r="A153" s="21" t="str">
        <x:f>Base_Costos!B153</x:f>
        <x:v>Accesorios / Consumibles</x:v>
      </x:c>
      <x:c r="B153" s="21" t="str">
        <x:f>Base_Costos!C153</x:f>
        <x:v>BSBI840-9</x:v>
      </x:c>
      <x:c r="C153" s="21" t="str">
        <x:f>Base_Costos!D153</x:f>
        <x:v>Batería 4A,</x:v>
      </x:c>
      <x:c r="D153" s="21" t="str">
        <x:f>Base_Costos!E153</x:f>
        <x:v>Producto Lusqtoff para uso profesional, taller, hogar o mantenimiento. Consultar disponibilidad y garantía oficial.</x:v>
      </x:c>
      <x:c r="E153" s="22" t="n">
        <x:f>Base_Costos!H153</x:f>
        <x:v>70900</x:v>
      </x:c>
      <x:c r="F153" s="21" t="str">
        <x:v>Consultar por caja/lote</x:v>
      </x:c>
      <x:c r="G153" s="21" t="n">
        <x:f>Base_Costos!O153</x:f>
        <x:v>65</x:v>
      </x:c>
      <x:c r="H153" s="21" t="str">
        <x:f>Base_Costos!N153</x:f>
        <x:v>OK</x:v>
      </x:c>
    </x:row>
    <x:row r="154">
      <x:c r="A154" s="21" t="str">
        <x:f>Base_Costos!B154</x:f>
        <x:v>Accesorios / Consumibles</x:v>
      </x:c>
      <x:c r="B154" s="21" t="str">
        <x:f>Base_Costos!C154</x:f>
      </x:c>
      <x:c r="C154" s="21" t="str">
        <x:f>Base_Costos!D154</x:f>
        <x:v>GORRA LUSQTOFF</x:v>
      </x:c>
      <x:c r="D154" s="21" t="str">
        <x:f>Base_Costos!E154</x:f>
        <x:v>Consumible o accesorio complementario para reposición, mantenimiento y venta por rotación.</x:v>
      </x:c>
      <x:c r="E154" s="22" t="n">
        <x:f>Base_Costos!H154</x:f>
        <x:v>16700</x:v>
      </x:c>
      <x:c r="F154" s="21" t="str">
        <x:v>Consultar por caja/lote</x:v>
      </x:c>
      <x:c r="G154" s="21" t="n">
        <x:f>Base_Costos!O154</x:f>
        <x:v>65</x:v>
      </x:c>
      <x:c r="H154" s="21" t="str">
        <x:f>Base_Costos!N154</x:f>
        <x:v>OK</x:v>
      </x:c>
    </x:row>
    <x:row r="155">
      <x:c r="A155" s="21" t="str">
        <x:f>Base_Costos!B155</x:f>
        <x:v>Accesorios / Consumibles</x:v>
      </x:c>
      <x:c r="B155" s="21" t="str">
        <x:f>Base_Costos!C155</x:f>
        <x:v>SIALTIO-8</x:v>
      </x:c>
      <x:c r="C155" s="21" t="str">
        <x:f>Base_Costos!D155</x:f>
        <x:v>SILICONA ACETICA X10 UNIDADES</x:v>
      </x:c>
      <x:c r="D155" s="21" t="str">
        <x:f>Base_Costos!E155</x:f>
        <x:v>Consumible o accesorio complementario para reposición, mantenimiento y venta por rotación.</x:v>
      </x:c>
      <x:c r="E155" s="22" t="n">
        <x:f>Base_Costos!H155</x:f>
        <x:v>26000</x:v>
      </x:c>
      <x:c r="F155" s="21" t="str">
        <x:v>Consultar por caja/lote</x:v>
      </x:c>
      <x:c r="G155" s="21" t="n">
        <x:f>Base_Costos!O155</x:f>
        <x:v>65</x:v>
      </x:c>
      <x:c r="H155" s="21" t="str">
        <x:f>Base_Costos!N155</x:f>
        <x:v>OK</x:v>
      </x:c>
    </x:row>
    <x:row r="156">
      <x:c r="A156" s="21" t="str">
        <x:f>Base_Costos!B156</x:f>
        <x:v>Accesorios / Consumibles</x:v>
      </x:c>
      <x:c r="B156" s="21" t="str">
        <x:f>Base_Costos!C156</x:f>
        <x:v>11412</x:v>
      </x:c>
      <x:c r="C156" s="21" t="str">
        <x:f>Base_Costos!D156</x:f>
        <x:v>CINTA AMARRE CRIQUE 700KG x4u LUSQTOFF</x:v>
      </x:c>
      <x:c r="D156" s="21" t="str">
        <x:f>Base_Costos!E156</x:f>
        <x:v>Consumible o accesorio complementario para reposición, mantenimiento y venta por rotación.</x:v>
      </x:c>
      <x:c r="E156" s="22" t="n">
        <x:f>Base_Costos!H156</x:f>
        <x:v>44900</x:v>
      </x:c>
      <x:c r="F156" s="21" t="str">
        <x:v>Consultar por caja/lote</x:v>
      </x:c>
      <x:c r="G156" s="21" t="n">
        <x:f>Base_Costos!O156</x:f>
        <x:v>66</x:v>
      </x:c>
      <x:c r="H156" s="21" t="str">
        <x:f>Base_Costos!N156</x:f>
        <x:v>OK</x:v>
      </x:c>
    </x:row>
    <x:row r="157">
      <x:c r="A157" s="21" t="str">
        <x:f>Base_Costos!B157</x:f>
        <x:v>Generadores / Bomba de Agua</x:v>
      </x:c>
      <x:c r="B157" s="21" t="str">
        <x:f>Base_Costos!C157</x:f>
        <x:v>GP2500</x:v>
      </x:c>
      <x:c r="C157" s="21" t="str">
        <x:f>Base_Costos!D157</x:f>
        <x:v>GENERADOR NAFTERO 2500W GARDEN PLUS</x:v>
      </x:c>
      <x:c r="D157" s="21" t="str">
        <x:f>Base_Costos!E157</x:f>
        <x:v>Equipo de fuerza y abastecimiento. Recomendado para respaldo de energía, riego, desagote o trabajos en exterior.</x:v>
      </x:c>
      <x:c r="E157" s="22" t="n">
        <x:f>Base_Costos!H157</x:f>
        <x:v>381800</x:v>
      </x:c>
      <x:c r="F157" s="21" t="str">
        <x:v>1 unidad</x:v>
      </x:c>
      <x:c r="G157" s="21" t="n">
        <x:f>Base_Costos!O157</x:f>
        <x:v>67</x:v>
      </x:c>
      <x:c r="H157" s="21" t="str">
        <x:f>Base_Costos!N157</x:f>
        <x:v>OK</x:v>
      </x:c>
    </x:row>
    <x:row r="158">
      <x:c r="A158" s="21" t="str">
        <x:f>Base_Costos!B158</x:f>
        <x:v>Generadores / Bomba de Agua</x:v>
      </x:c>
      <x:c r="B158" s="21" t="str">
        <x:f>Base_Costos!C158</x:f>
        <x:v>CPMI58</x:v>
      </x:c>
      <x:c r="C158" s="21" t="str">
        <x:f>Base_Costos!D158</x:f>
        <x:v>BOMBA CENTRIFUGA</x:v>
      </x:c>
      <x:c r="D158" s="21" t="str">
        <x:f>Base_Costos!E158</x:f>
        <x:v>Equipo de fuerza y abastecimiento. Recomendado para respaldo de energía, riego, desagote o trabajos en exterior.</x:v>
      </x:c>
      <x:c r="E158" s="22" t="n">
        <x:f>Base_Costos!H158</x:f>
        <x:v>105300</x:v>
      </x:c>
      <x:c r="F158" s="21" t="str">
        <x:v>1 unidad</x:v>
      </x:c>
      <x:c r="G158" s="21" t="n">
        <x:f>Base_Costos!O158</x:f>
        <x:v>68</x:v>
      </x:c>
      <x:c r="H158" s="21" t="str">
        <x:f>Base_Costos!N158</x:f>
        <x:v>Revisar OCR</x:v>
      </x:c>
    </x:row>
    <x:row r="159">
      <x:c r="A159" s="21" t="str">
        <x:f>Base_Costos!B159</x:f>
        <x:v>Generadores / Bomba de Agua</x:v>
      </x:c>
      <x:c r="B159" s="21" t="str">
        <x:f>Base_Costos!C159</x:f>
        <x:v>CPM190T</x:v>
      </x:c>
      <x:c r="C159" s="21" t="str">
        <x:f>Base_Costos!D159</x:f>
        <x:v>BOMBA CENTRIFUGA 2HP TRIFASICA</x:v>
      </x:c>
      <x:c r="D159" s="21" t="str">
        <x:f>Base_Costos!E159</x:f>
        <x:v>Equipo de fuerza y abastecimiento. Recomendado para respaldo de energía, riego, desagote o trabajos en exterior.</x:v>
      </x:c>
      <x:c r="E159" s="22" t="n">
        <x:f>Base_Costos!H159</x:f>
        <x:v>367500</x:v>
      </x:c>
      <x:c r="F159" s="21" t="str">
        <x:v>1 unidad</x:v>
      </x:c>
      <x:c r="G159" s="21" t="n">
        <x:f>Base_Costos!O159</x:f>
        <x:v>68</x:v>
      </x:c>
      <x:c r="H159" s="21" t="str">
        <x:f>Base_Costos!N159</x:f>
        <x:v>Revisar OCR</x:v>
      </x:c>
    </x:row>
    <x:row r="160">
      <x:c r="A160" s="21" t="str">
        <x:f>Base_Costos!B160</x:f>
        <x:v>Generadores / Bomba de Agua</x:v>
      </x:c>
      <x:c r="B160" s="21" t="str">
        <x:f>Base_Costos!C160</x:f>
        <x:v>BP150G-7</x:v>
      </x:c>
      <x:c r="C160" s="21" t="str">
        <x:f>Base_Costos!D160</x:f>
        <x:v>BOMBA PERIFERICA 0,5 HP GARDEN PLUS</x:v>
      </x:c>
      <x:c r="D160" s="21" t="str">
        <x:f>Base_Costos!E160</x:f>
        <x:v>Equipo de fuerza y abastecimiento. Recomendado para respaldo de energía, riego, desagote o trabajos en exterior.</x:v>
      </x:c>
      <x:c r="E160" s="22" t="n">
        <x:f>Base_Costos!H160</x:f>
        <x:v>34300</x:v>
      </x:c>
      <x:c r="F160" s="21" t="str">
        <x:v>1 unidad</x:v>
      </x:c>
      <x:c r="G160" s="21" t="n">
        <x:f>Base_Costos!O160</x:f>
        <x:v>68</x:v>
      </x:c>
      <x:c r="H160" s="21" t="str">
        <x:f>Base_Costos!N160</x:f>
        <x:v>Revisar OCR</x:v>
      </x:c>
    </x:row>
    <x:row r="161">
      <x:c r="A161" s="21" t="str">
        <x:f>Base_Costos!B161</x:f>
        <x:v>Generadores / Bomba de Agua</x:v>
      </x:c>
      <x:c r="B161" s="21" t="str">
        <x:f>Base_Costos!C161</x:f>
        <x:v>LLP-250</x:v>
      </x:c>
      <x:c r="C161" s="21" t="str">
        <x:f>Base_Costos!D161</x:f>
        <x:v>BOMBA SUMERGIBLE 3 en1</x:v>
      </x:c>
      <x:c r="D161" s="21" t="str">
        <x:f>Base_Costos!E161</x:f>
        <x:v>Equipo de fuerza y abastecimiento. Recomendado para respaldo de energía, riego, desagote o trabajos en exterior.</x:v>
      </x:c>
      <x:c r="E161" s="22" t="n">
        <x:f>Base_Costos!H161</x:f>
        <x:v>78500</x:v>
      </x:c>
      <x:c r="F161" s="21" t="str">
        <x:v>1 unidad</x:v>
      </x:c>
      <x:c r="G161" s="21" t="n">
        <x:f>Base_Costos!O161</x:f>
        <x:v>69</x:v>
      </x:c>
      <x:c r="H161" s="21" t="str">
        <x:f>Base_Costos!N161</x:f>
        <x:v>OK</x:v>
      </x:c>
    </x:row>
    <x:row r="162">
      <x:c r="A162" s="21" t="str">
        <x:f>Base_Costos!B162</x:f>
        <x:v>Generadores / Bomba de Agua</x:v>
      </x:c>
      <x:c r="B162" s="21" t="str">
        <x:f>Base_Costos!C162</x:f>
        <x:v>LMB-20</x:v>
      </x:c>
      <x:c r="C162" s="21" t="str">
        <x:f>Base_Costos!D162</x:f>
        <x:v>MOTOBOMBA NAFTERA 2" 5SHP</x:v>
      </x:c>
      <x:c r="D162" s="21" t="str">
        <x:f>Base_Costos!E162</x:f>
        <x:v>Equipo de fuerza y abastecimiento. Recomendado para respaldo de energía, riego, desagote o trabajos en exterior.</x:v>
      </x:c>
      <x:c r="E162" s="22" t="n">
        <x:f>Base_Costos!H162</x:f>
        <x:v>351000</x:v>
      </x:c>
      <x:c r="F162" s="21" t="str">
        <x:v>1 unidad</x:v>
      </x:c>
      <x:c r="G162" s="21" t="n">
        <x:f>Base_Costos!O162</x:f>
        <x:v>69</x:v>
      </x:c>
      <x:c r="H162" s="21" t="str">
        <x:f>Base_Costos!N162</x:f>
        <x:v>OK</x:v>
      </x:c>
    </x:row>
    <x:row r="163">
      <x:c r="A163" s="21" t="str">
        <x:f>Base_Costos!B163</x:f>
        <x:v>Generadores / Bomba de Agua</x:v>
      </x:c>
      <x:c r="B163" s="21" t="str">
        <x:f>Base_Costos!C163</x:f>
        <x:v>MPS-1</x:v>
      </x:c>
      <x:c r="C163" s="21" t="str">
        <x:f>Base_Costos!D163</x:f>
        <x:v>REGULADOR AUTOMATICO DE PRESION</x:v>
      </x:c>
      <x:c r="D163" s="21" t="str">
        <x:f>Base_Costos!E163</x:f>
        <x:v>Producto para cuidado automotor, detailing y mantenimiento. Ideal para limpieza, energía auxiliar y uso de taller.</x:v>
      </x:c>
      <x:c r="E163" s="22" t="n">
        <x:f>Base_Costos!H163</x:f>
        <x:v>45500</x:v>
      </x:c>
      <x:c r="F163" s="21" t="str">
        <x:v>1 unidad</x:v>
      </x:c>
      <x:c r="G163" s="21" t="n">
        <x:f>Base_Costos!O163</x:f>
        <x:v>69</x:v>
      </x:c>
      <x:c r="H163" s="21" t="str">
        <x:f>Base_Costos!N163</x:f>
        <x:v>OK</x:v>
      </x:c>
    </x:row>
    <x:row r="164">
      <x:c r="A164" s="21" t="str">
        <x:f>Base_Costos!B164</x:f>
        <x:v>Estética y Accesorios Automotor</x:v>
      </x:c>
      <x:c r="B164" s="21" t="str">
        <x:f>Base_Costos!C164</x:f>
        <x:v>PB-100</x:v>
      </x:c>
      <x:c r="C164" s="21" t="str">
        <x:f>Base_Costos!D164</x:f>
        <x:v>Cargador Portatil Arrancador Celular</x:v>
      </x:c>
      <x:c r="D164" s="21" t="str">
        <x:f>Base_Costos!E164</x:f>
        <x:v>Producto para cuidado automotor, detailing y mantenimiento. Ideal para limpieza, energía auxiliar y uso de taller.</x:v>
      </x:c>
      <x:c r="E164" s="22" t="n">
        <x:f>Base_Costos!H164</x:f>
        <x:v>113300</x:v>
      </x:c>
      <x:c r="F164" s="21" t="str">
        <x:v>1 unidad</x:v>
      </x:c>
      <x:c r="G164" s="21" t="n">
        <x:f>Base_Costos!O164</x:f>
        <x:v>70</x:v>
      </x:c>
      <x:c r="H164" s="21" t="str">
        <x:f>Base_Costos!N164</x:f>
        <x:v>OK</x:v>
      </x:c>
    </x:row>
    <x:row r="165">
      <x:c r="A165" s="21" t="str">
        <x:f>Base_Costos!B165</x:f>
        <x:v>Estética y Accesorios Automotor</x:v>
      </x:c>
      <x:c r="B165" s="21" t="str">
        <x:f>Base_Costos!C165</x:f>
        <x:v>LCC-20</x:v>
      </x:c>
      <x:c r="C165" s="21" t="str">
        <x:f>Base_Costos!D165</x:f>
        <x:v>CARGADOR BATERIA 20A 12V</x:v>
      </x:c>
      <x:c r="D165" s="21" t="str">
        <x:f>Base_Costos!E165</x:f>
        <x:v>Producto para cuidado automotor, detailing y mantenimiento. Ideal para limpieza, energía auxiliar y uso de taller.</x:v>
      </x:c>
      <x:c r="E165" s="22" t="n">
        <x:f>Base_Costos!H165</x:f>
        <x:v>159300</x:v>
      </x:c>
      <x:c r="F165" s="21" t="str">
        <x:v>1 unidad</x:v>
      </x:c>
      <x:c r="G165" s="21" t="n">
        <x:f>Base_Costos!O165</x:f>
        <x:v>71</x:v>
      </x:c>
      <x:c r="H165" s="21" t="str">
        <x:f>Base_Costos!N165</x:f>
        <x:v>OK</x:v>
      </x:c>
    </x:row>
    <x:row r="166">
      <x:c r="A166" s="21" t="str">
        <x:f>Base_Costos!B166</x:f>
        <x:v>Estética y Accesorios Automotor</x:v>
      </x:c>
      <x:c r="B166" s="21" t="str">
        <x:f>Base_Costos!C166</x:f>
        <x:v>LCR-40</x:v>
      </x:c>
      <x:c r="C166" s="21" t="str">
        <x:f>Base_Costos!D166</x:f>
        <x:v>CARGADOR DE BATERIA 12V LUSQTOFF</x:v>
      </x:c>
      <x:c r="D166" s="21" t="str">
        <x:f>Base_Costos!E166</x:f>
        <x:v>Producto Lusqtoff para uso profesional, taller, hogar o mantenimiento. Consultar disponibilidad y garantía oficial.</x:v>
      </x:c>
      <x:c r="E166" s="22" t="n">
        <x:f>Base_Costos!H166</x:f>
        <x:v>227500</x:v>
      </x:c>
      <x:c r="F166" s="21" t="str">
        <x:v>1 unidad</x:v>
      </x:c>
      <x:c r="G166" s="21" t="n">
        <x:f>Base_Costos!O166</x:f>
        <x:v>71</x:v>
      </x:c>
      <x:c r="H166" s="21" t="str">
        <x:f>Base_Costos!N166</x:f>
        <x:v>Revisar OCR</x:v>
      </x:c>
    </x:row>
    <x:row r="167">
      <x:c r="A167" s="21" t="str">
        <x:f>Base_Costos!B167</x:f>
        <x:v>Estética y Accesorios Automotor</x:v>
      </x:c>
      <x:c r="B167" s="21" t="str">
        <x:f>Base_Costos!C167</x:f>
        <x:v>MCLI50-8</x:v>
      </x:c>
      <x:c r="C167" s="21" t="str">
        <x:f>Base_Costos!D167</x:f>
        <x:v>MINI COMPRESOR 12V 150psi</x:v>
      </x:c>
      <x:c r="D167" s="21" t="str">
        <x:f>Base_Costos!E167</x:f>
        <x:v>Equipo y accesorios para aire comprimido. Ideal para inflado, pintura, limpieza, herramientas neumáticas y uso de taller.</x:v>
      </x:c>
      <x:c r="E167" s="22" t="n">
        <x:f>Base_Costos!H167</x:f>
        <x:v>77400</x:v>
      </x:c>
      <x:c r="F167" s="21" t="str">
        <x:v>1 unidad</x:v>
      </x:c>
      <x:c r="G167" s="21" t="n">
        <x:f>Base_Costos!O167</x:f>
        <x:v>71</x:v>
      </x:c>
      <x:c r="H167" s="21" t="str">
        <x:f>Base_Costos!N167</x:f>
        <x:v>Revisar OCR</x:v>
      </x:c>
    </x:row>
    <x:row r="168">
      <x:c r="A168" s="21" t="str">
        <x:f>Base_Costos!B168</x:f>
        <x:v>Estética y Accesorios Automotor</x:v>
      </x:c>
      <x:c r="B168" s="21" t="str">
        <x:f>Base_Costos!C168</x:f>
        <x:v>AIISOL-8K</x:v>
      </x:c>
      <x:c r="C168" s="21" t="str">
        <x:f>Base_Costos!D168</x:f>
        <x:v>ARRANCADOR INFLADOR PORTATIL</x:v>
      </x:c>
      <x:c r="D168" s="21" t="str">
        <x:f>Base_Costos!E168</x:f>
        <x:v>Producto para cuidado automotor, detailing y mantenimiento. Ideal para limpieza, energía auxiliar y uso de taller.</x:v>
      </x:c>
      <x:c r="E168" s="22" t="n">
        <x:f>Base_Costos!H168</x:f>
        <x:v>211000</x:v>
      </x:c>
      <x:c r="F168" s="21" t="str">
        <x:v>1 unidad</x:v>
      </x:c>
      <x:c r="G168" s="21" t="n">
        <x:f>Base_Costos!O168</x:f>
        <x:v>72</x:v>
      </x:c>
      <x:c r="H168" s="21" t="str">
        <x:f>Base_Costos!N168</x:f>
        <x:v>OK</x:v>
      </x:c>
    </x:row>
    <x:row r="169">
      <x:c r="A169" s="21" t="str">
        <x:f>Base_Costos!B169</x:f>
        <x:v>Estética y Accesorios Automotor</x:v>
      </x:c>
      <x:c r="B169" s="21" t="str">
        <x:f>Base_Costos!C169</x:f>
        <x:v>IL150-8</x:v>
      </x:c>
      <x:c r="C169" s="21" t="str">
        <x:f>Base_Costos!D169</x:f>
        <x:v>INFLADOR A BATERIA CON MEDIDOR DIGITAL</x:v>
      </x:c>
      <x:c r="D169" s="21" t="str">
        <x:f>Base_Costos!E169</x:f>
        <x:v>Producto Lusqtoff para uso profesional, taller, hogar o mantenimiento. Consultar disponibilidad y garantía oficial.</x:v>
      </x:c>
      <x:c r="E169" s="22" t="n">
        <x:f>Base_Costos!H169</x:f>
        <x:v>113800</x:v>
      </x:c>
      <x:c r="F169" s="21" t="str">
        <x:v>1 unidad</x:v>
      </x:c>
      <x:c r="G169" s="21" t="n">
        <x:f>Base_Costos!O169</x:f>
        <x:v>72</x:v>
      </x:c>
      <x:c r="H169" s="21" t="str">
        <x:f>Base_Costos!N169</x:f>
        <x:v>OK</x:v>
      </x:c>
    </x:row>
    <x:row r="170">
      <x:c r="A170" s="21" t="str">
        <x:f>Base_Costos!B170</x:f>
        <x:v>Estética y Accesorios Automotor</x:v>
      </x:c>
      <x:c r="B170" s="21" t="str">
        <x:f>Base_Costos!C170</x:f>
        <x:v>SETPLAI0-9</x:v>
      </x:c>
      <x:c r="C170" s="21" t="str">
        <x:f>Base_Costos!D170</x:f>
        <x:v>SET DE LIMPIEZA PARA AUTO - 10 PIEZAS.</x:v>
      </x:c>
      <x:c r="D170" s="21" t="str">
        <x:f>Base_Costos!E170</x:f>
        <x:v>Producto para cuidado automotor, detailing y mantenimiento. Ideal para limpieza, energía auxiliar y uso de taller.</x:v>
      </x:c>
      <x:c r="E170" s="22" t="n">
        <x:f>Base_Costos!H170</x:f>
        <x:v>45400</x:v>
      </x:c>
      <x:c r="F170" s="21" t="str">
        <x:v>1 unidad</x:v>
      </x:c>
      <x:c r="G170" s="21" t="n">
        <x:f>Base_Costos!O170</x:f>
        <x:v>72</x:v>
      </x:c>
      <x:c r="H170" s="21" t="str">
        <x:f>Base_Costos!N170</x:f>
        <x:v>OK</x:v>
      </x:c>
    </x:row>
    <x:row r="171">
      <x:c r="A171" s="21" t="str">
        <x:f>Base_Costos!B171</x:f>
        <x:v>Estética y Accesorios Automotor</x:v>
      </x:c>
      <x:c r="B171" s="21" t="str">
        <x:f>Base_Costos!C171</x:f>
        <x:v>LQH91204</x:v>
      </x:c>
      <x:c r="C171" s="21" t="str">
        <x:f>Base_Costos!D171</x:f>
        <x:v>CRIQUET BOTELLA 12TN</x:v>
      </x:c>
      <x:c r="D171" s="21" t="str">
        <x:f>Base_Costos!E171</x:f>
        <x:v>Producto Lusqtoff para uso profesional, taller, hogar o mantenimiento. Consultar disponibilidad y garantía oficial.</x:v>
      </x:c>
      <x:c r="E171" s="22" t="n">
        <x:f>Base_Costos!H171</x:f>
        <x:v>91000</x:v>
      </x:c>
      <x:c r="F171" s="21" t="str">
        <x:v>1 unidad</x:v>
      </x:c>
      <x:c r="G171" s="21" t="n">
        <x:f>Base_Costos!O171</x:f>
        <x:v>73</x:v>
      </x:c>
      <x:c r="H171" s="21" t="str">
        <x:f>Base_Costos!N171</x:f>
        <x:v>Revisar OCR</x:v>
      </x:c>
    </x:row>
    <x:row r="172">
      <x:c r="A172" s="21" t="str">
        <x:f>Base_Costos!B172</x:f>
        <x:v>Estética y Accesorios Automotor</x:v>
      </x:c>
      <x:c r="B172" s="21" t="str">
        <x:f>Base_Costos!C172</x:f>
        <x:v>PUL180-9B</x:v>
      </x:c>
      <x:c r="C172" s="21" t="str">
        <x:f>Base_Costos!D172</x:f>
        <x:v>PULIDORA INALAMBRICA</x:v>
      </x:c>
      <x:c r="D172" s="21" t="str">
        <x:f>Base_Costos!E172</x:f>
        <x:v>Producto para cuidado automotor, detailing y mantenimiento. Ideal para limpieza, energía auxiliar y uso de taller.</x:v>
      </x:c>
      <x:c r="E172" s="22" t="n">
        <x:f>Base_Costos!H172</x:f>
        <x:v>477700</x:v>
      </x:c>
      <x:c r="F172" s="21" t="str">
        <x:v>1 unidad</x:v>
      </x:c>
      <x:c r="G172" s="21" t="n">
        <x:f>Base_Costos!O172</x:f>
        <x:v>73</x:v>
      </x:c>
      <x:c r="H172" s="21" t="str">
        <x:f>Base_Costos!N172</x:f>
        <x:v>Revisar OCR</x:v>
      </x:c>
    </x:row>
    <x:row r="173">
      <x:c r="A173" s="21" t="str">
        <x:f>Base_Costos!B173</x:f>
        <x:v>Estética y Accesorios Automotor</x:v>
      </x:c>
      <x:c r="B173" s="21" t="str">
        <x:f>Base_Costos!C173</x:f>
        <x:v>PRDL900-9</x:v>
      </x:c>
      <x:c r="C173" s="21" t="str">
        <x:f>Base_Costos!D173</x:f>
        <x:v>PULIDORA ROTO ORBITAL</x:v>
      </x:c>
      <x:c r="D173" s="21" t="str">
        <x:f>Base_Costos!E173</x:f>
        <x:v>Producto para cuidado automotor, detailing y mantenimiento. Ideal para limpieza, energía auxiliar y uso de taller.</x:v>
      </x:c>
      <x:c r="E173" s="22" t="n">
        <x:f>Base_Costos!H173</x:f>
        <x:v>181200</x:v>
      </x:c>
      <x:c r="F173" s="21" t="str">
        <x:v>1 unidad</x:v>
      </x:c>
      <x:c r="G173" s="21" t="n">
        <x:f>Base_Costos!O173</x:f>
        <x:v>73</x:v>
      </x:c>
      <x:c r="H173" s="21" t="str">
        <x:f>Base_Costos!N173</x:f>
        <x:v>Revisar OCR</x:v>
      </x:c>
    </x:row>
    <x:row r="174">
      <x:c r="A174" s="21" t="str">
        <x:f>Base_Costos!B174</x:f>
        <x:v>Estética y Accesorios Automotor</x:v>
      </x:c>
      <x:c r="B174" s="21" t="str">
        <x:f>Base_Costos!C174</x:f>
        <x:v>LA38-8BK</x:v>
      </x:c>
      <x:c r="C174" s="21" t="str">
        <x:f>Base_Costos!D174</x:f>
        <x:v>ASPIRADORA A BATERIA + BATERIA Y CARGADOR (IRON VOLT)</x:v>
      </x:c>
      <x:c r="D174" s="21" t="str">
        <x:f>Base_Costos!E174</x:f>
        <x:v>Producto para cuidado automotor, detailing y mantenimiento. Ideal para limpieza, energía auxiliar y uso de taller.</x:v>
      </x:c>
      <x:c r="E174" s="22" t="n">
        <x:f>Base_Costos!H174</x:f>
        <x:v>124600</x:v>
      </x:c>
      <x:c r="F174" s="21" t="str">
        <x:v>1 unidad</x:v>
      </x:c>
      <x:c r="G174" s="21" t="n">
        <x:f>Base_Costos!O174</x:f>
        <x:v>74</x:v>
      </x:c>
      <x:c r="H174" s="21" t="str">
        <x:f>Base_Costos!N174</x:f>
        <x:v>Revisar OCR</x:v>
      </x:c>
    </x:row>
    <x:row r="175">
      <x:c r="A175" s="21" t="str">
        <x:f>Base_Costos!B175</x:f>
        <x:v>Estética y Accesorios Automotor</x:v>
      </x:c>
      <x:c r="B175" s="21" t="str">
        <x:f>Base_Costos!C175</x:f>
        <x:v>LA-1500MM</x:v>
      </x:c>
      <x:c r="C175" s="21" t="str">
        <x:f>Base_Costos!D175</x:f>
        <x:v>ASPIRADORA TANQUE METAL 1000W-15</x:v>
      </x:c>
      <x:c r="D175" s="21" t="str">
        <x:f>Base_Costos!E175</x:f>
        <x:v>Producto para cuidado automotor, detailing y mantenimiento. Ideal para limpieza, energía auxiliar y uso de taller.</x:v>
      </x:c>
      <x:c r="E175" s="22" t="n">
        <x:f>Base_Costos!H175</x:f>
        <x:v>101300</x:v>
      </x:c>
      <x:c r="F175" s="21" t="str">
        <x:v>1 unidad</x:v>
      </x:c>
      <x:c r="G175" s="21" t="n">
        <x:f>Base_Costos!O175</x:f>
        <x:v>74</x:v>
      </x:c>
      <x:c r="H175" s="21" t="str">
        <x:f>Base_Costos!N175</x:f>
        <x:v>Revisar OCR</x:v>
      </x:c>
    </x:row>
    <x:row r="176">
      <x:c r="A176" s="21" t="str">
        <x:f>Base_Costos!B176</x:f>
        <x:v>Estética y Accesorios Automotor</x:v>
      </x:c>
      <x:c r="B176" s="21" t="str">
        <x:f>Base_Costos!C176</x:f>
        <x:v>SAL3TON-7</x:v>
      </x:c>
      <x:c r="C176" s="21" t="str">
        <x:f>Base_Costos!D176</x:f>
        <x:v>SOPORTE AUTO 3TON</x:v>
      </x:c>
      <x:c r="D176" s="21" t="str">
        <x:f>Base_Costos!E176</x:f>
        <x:v>Producto para cuidado automotor, detailing y mantenimiento. Ideal para limpieza, energía auxiliar y uso de taller.</x:v>
      </x:c>
      <x:c r="E176" s="22" t="n">
        <x:f>Base_Costos!H176</x:f>
        <x:v>59200</x:v>
      </x:c>
      <x:c r="F176" s="21" t="str">
        <x:v>1 unidad</x:v>
      </x:c>
      <x:c r="G176" s="21" t="n">
        <x:f>Base_Costos!O176</x:f>
        <x:v>75</x:v>
      </x:c>
      <x:c r="H176" s="21" t="str">
        <x:f>Base_Costos!N176</x:f>
        <x:v>OK</x:v>
      </x:c>
    </x:row>
    <x:row r="177">
      <x:c r="A177" s="21" t="str">
        <x:f>Base_Costos!B177</x:f>
        <x:v>Y Más Herramientas</x:v>
      </x:c>
      <x:c r="B177" s="21" t="str">
        <x:f>Base_Costos!C177</x:f>
        <x:v>LTF-6308R</x:v>
      </x:c>
      <x:c r="C177" s="21" t="str">
        <x:f>Base_Costos!D177</x:f>
        <x:v>TERMOFUSORA 220V 50HZ 800W</x:v>
      </x:c>
      <x:c r="D177" s="21" t="str">
        <x:f>Base_Costos!E177</x:f>
        <x:v>Herramienta para instalaciones y reparaciones con termofusión. Ideal para plomería, obra y mantenimiento.</x:v>
      </x:c>
      <x:c r="E177" s="22" t="n">
        <x:f>Base_Costos!H177</x:f>
        <x:v>52500</x:v>
      </x:c>
      <x:c r="F177" s="21" t="str">
        <x:v>1 unidad</x:v>
      </x:c>
      <x:c r="G177" s="21" t="n">
        <x:f>Base_Costos!O177</x:f>
        <x:v>76</x:v>
      </x:c>
      <x:c r="H177" s="21" t="str">
        <x:f>Base_Costos!N177</x:f>
        <x:v>OK</x:v>
      </x:c>
    </x:row>
    <x:row r="178">
      <x:c r="A178" s="21" t="str">
        <x:f>Base_Costos!B178</x:f>
        <x:v>Y Más Herramientas</x:v>
      </x:c>
      <x:c r="B178" s="21" t="str">
        <x:f>Base_Costos!C178</x:f>
        <x:v>N3</x:v>
      </x:c>
      <x:c r="C178" s="21" t="str">
        <x:f>Base_Costos!D178</x:f>
        <x:v>APAREJO ELÉCTRICO 500/1000KG 12M</x:v>
      </x:c>
      <x:c r="D178" s="21" t="str">
        <x:f>Base_Costos!E178</x:f>
        <x:v>Equipo para izaje y movimiento de cargas. Recomendado para taller, obra y tareas de mantenimiento.</x:v>
      </x:c>
      <x:c r="E178" s="22" t="n">
        <x:f>Base_Costos!H178</x:f>
        <x:v>393700</x:v>
      </x:c>
      <x:c r="F178" s="21" t="str">
        <x:v>1 unidad</x:v>
      </x:c>
      <x:c r="G178" s="21" t="n">
        <x:f>Base_Costos!O178</x:f>
        <x:v>77</x:v>
      </x:c>
      <x:c r="H178" s="21" t="str">
        <x:f>Base_Costos!N178</x:f>
        <x:v>Revisar OCR</x:v>
      </x:c>
    </x:row>
    <x:row r="179">
      <x:c r="A179" s="21" t="str">
        <x:f>Base_Costos!B179</x:f>
        <x:v>Y Más Herramientas</x:v>
      </x:c>
      <x:c r="B179" s="21" t="str">
        <x:f>Base_Costos!C179</x:f>
        <x:v>CCL600-8</x:v>
      </x:c>
      <x:c r="C179" s="21" t="str">
        <x:f>Base_Costos!D179</x:f>
        <x:v>CORTADORA DE CERAMICO 600MM MAXIMO</x:v>
      </x:c>
      <x:c r="D179" s="21" t="str">
        <x:f>Base_Costos!E179</x:f>
        <x:v>Producto orientado a corte, desbaste y terminación. Recomendado para metal, obra y mantenimiento general.</x:v>
      </x:c>
      <x:c r="E179" s="22" t="n">
        <x:f>Base_Costos!H179</x:f>
        <x:v>87500</x:v>
      </x:c>
      <x:c r="F179" s="21" t="str">
        <x:v>1 unidad</x:v>
      </x:c>
      <x:c r="G179" s="21" t="n">
        <x:f>Base_Costos!O179</x:f>
        <x:v>77</x:v>
      </x:c>
      <x:c r="H179" s="21" t="str">
        <x:f>Base_Costos!N179</x:f>
        <x:v>Revisar OCR</x:v>
      </x:c>
    </x:row>
    <x:row r="180">
      <x:c r="A180" s="21" t="str">
        <x:f>Base_Costos!B180</x:f>
        <x:v>Y Más Herramientas</x:v>
      </x:c>
      <x:c r="B180" s="21" t="str">
        <x:f>Base_Costos!C180</x:f>
        <x:v>LMP1004</x:v>
      </x:c>
      <x:c r="C180" s="21" t="str">
        <x:f>Base_Costos!D180</x:f>
        <x:v>MORSA 4"</x:v>
      </x:c>
      <x:c r="D180" s="21" t="str">
        <x:f>Base_Costos!E180</x:f>
        <x:v>Elemento de sujeción para banco de trabajo. Ideal para mecánica, herrería y trabajos de precisión.</x:v>
      </x:c>
      <x:c r="E180" s="22" t="n">
        <x:f>Base_Costos!H180</x:f>
        <x:v>172400</x:v>
      </x:c>
      <x:c r="F180" s="21" t="str">
        <x:v>1 unidad</x:v>
      </x:c>
      <x:c r="G180" s="21" t="n">
        <x:f>Base_Costos!O180</x:f>
        <x:v>77</x:v>
      </x:c>
      <x:c r="H180" s="21" t="str">
        <x:f>Base_Costos!N180</x:f>
        <x:v>OK</x:v>
      </x:c>
    </x:row>
    <x:row r="181">
      <x:c r="A181" s="21" t="str">
        <x:f>Base_Costos!B181</x:f>
        <x:v>Y Más Herramientas</x:v>
      </x:c>
      <x:c r="B181" s="21" t="str">
        <x:f>Base_Costos!C181</x:f>
        <x:v>ACPLI500-9</x:v>
      </x:c>
      <x:c r="C181" s="21" t="str">
        <x:f>Base_Costos!D181</x:f>
        <x:v>ACANALADORA DE PARED</x:v>
      </x:c>
      <x:c r="D181" s="21" t="str">
        <x:f>Base_Costos!E181</x:f>
        <x:v>Herramienta para canaletas y trabajos de instalación. Recomendada para obra, electricidad y mantenimiento.</x:v>
      </x:c>
      <x:c r="E181" s="22" t="n">
        <x:f>Base_Costos!H181</x:f>
        <x:v>335100</x:v>
      </x:c>
      <x:c r="F181" s="21" t="str">
        <x:v>1 unidad</x:v>
      </x:c>
      <x:c r="G181" s="21" t="n">
        <x:f>Base_Costos!O181</x:f>
        <x:v>78</x:v>
      </x:c>
      <x:c r="H181" s="21" t="str">
        <x:f>Base_Costos!N181</x:f>
        <x:v>OK</x:v>
      </x:c>
    </x:row>
    <x:row r="182">
      <x:c r="A182" s="21" t="str">
        <x:f>Base_Costos!B182</x:f>
        <x:v>Y Más Herramientas</x:v>
      </x:c>
      <x:c r="B182" s="21" t="str">
        <x:f>Base_Costos!C182</x:f>
        <x:v>LM420</x:v>
      </x:c>
      <x:c r="C182" s="21" t="str">
        <x:f>Base_Costos!D182</x:f>
        <x:v>MOTOR NAFTERO 15HP 3600 RPM</x:v>
      </x:c>
      <x:c r="D182" s="21" t="str">
        <x:f>Base_Costos!E182</x:f>
        <x:v>Motor naftero para aplicaciones de fuerza y equipos auxiliares. Ideal para mantenimiento y reemplazo.</x:v>
      </x:c>
      <x:c r="E182" s="22" t="n">
        <x:f>Base_Costos!H182</x:f>
        <x:v>632500</x:v>
      </x:c>
      <x:c r="F182" s="21" t="str">
        <x:v>1 unidad</x:v>
      </x:c>
      <x:c r="G182" s="21" t="n">
        <x:f>Base_Costos!O182</x:f>
        <x:v>78</x:v>
      </x:c>
      <x:c r="H182" s="21" t="str">
        <x:f>Base_Costos!N182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7ce8915e50094e3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0" hidden="0" customWidth="1"/>
    <x:col min="4" max="4" width="62" hidden="0" customWidth="1"/>
    <x:col min="5" max="5" width="18" hidden="0" customWidth="1"/>
    <x:col min="6" max="6" width="24" hidden="0" customWidth="1"/>
    <x:col min="7" max="7" width="12" hidden="0" customWidth="1"/>
    <x:col min="8" max="8" width="14" hidden="0" customWidth="1"/>
  </x:cols>
  <x:sheetData>
    <x:row r="1">
      <x:c r="A1" s="38" t="str">
        <x:v>Categoría</x:v>
      </x:c>
      <x:c r="B1" s="38" t="str">
        <x:v>Código</x:v>
      </x:c>
      <x:c r="C1" s="38" t="str">
        <x:v>Producto</x:v>
      </x:c>
      <x:c r="D1" s="38" t="str">
        <x:v>Detalle comercial</x:v>
      </x:c>
      <x:c r="E1" s="38" t="str">
        <x:v>Precio lista</x:v>
      </x:c>
      <x:c r="F1" s="38" t="str">
        <x:v>Precio transferencia</x:v>
      </x:c>
      <x:c r="G1" s="38" t="str">
        <x:v>Página PDF</x:v>
      </x:c>
      <x:c r="H1" s="38" t="str">
        <x:v>Estado</x:v>
      </x:c>
    </x:row>
    <x:row r="2">
      <x:c r="A2" s="21" t="str">
        <x:f>Base_Costos!B2</x:f>
        <x:v>Amoladoras y Corte</x:v>
      </x:c>
      <x:c r="B2" s="21" t="str">
        <x:f>Base_Costos!C2</x:f>
        <x:v>AB-550</x:v>
      </x:c>
      <x:c r="C2" s="21" t="str">
        <x:f>Base_Costos!D2</x:f>
        <x:v>AMOLADORA DE BANCO 550W</x:v>
      </x:c>
      <x:c r="D2" s="21" t="str">
        <x:f>Base_Costos!E2</x:f>
        <x:v>Producto orientado a corte, desbaste y terminación. Recomendado para metal, obra y mantenimiento general.</x:v>
      </x:c>
      <x:c r="E2" s="22" t="n">
        <x:f>Base_Costos!J2</x:f>
        <x:v>129400</x:v>
      </x:c>
      <x:c r="F2" s="22" t="n">
        <x:f>Base_Costos!K2</x:f>
        <x:v>123000</x:v>
      </x:c>
      <x:c r="G2" s="21" t="n">
        <x:f>Base_Costos!O2</x:f>
        <x:v>2</x:v>
      </x:c>
      <x:c r="H2" s="21" t="str">
        <x:f>Base_Costos!N2</x:f>
        <x:v>OK</x:v>
      </x:c>
    </x:row>
    <x:row r="3">
      <x:c r="A3" s="21" t="str">
        <x:f>Base_Costos!B3</x:f>
        <x:v>Amoladoras y Corte</x:v>
      </x:c>
      <x:c r="B3" s="21" t="str">
        <x:f>Base_Costos!C3</x:f>
        <x:v>L-820</x:v>
      </x:c>
      <x:c r="C3" s="21" t="str">
        <x:f>Base_Costos!D3</x:f>
        <x:v>AMOLADORA ANGULAR 720w</x:v>
      </x:c>
      <x:c r="D3" s="21" t="str">
        <x:f>Base_Costos!E3</x:f>
        <x:v>Producto orientado a corte, desbaste y terminación. Recomendado para metal, obra y mantenimiento general.</x:v>
      </x:c>
      <x:c r="E3" s="22" t="n">
        <x:f>Base_Costos!J3</x:f>
        <x:v>56500</x:v>
      </x:c>
      <x:c r="F3" s="22" t="n">
        <x:f>Base_Costos!K3</x:f>
        <x:v>53700</x:v>
      </x:c>
      <x:c r="G3" s="21" t="n">
        <x:f>Base_Costos!O3</x:f>
        <x:v>3</x:v>
      </x:c>
      <x:c r="H3" s="21" t="str">
        <x:f>Base_Costos!N3</x:f>
        <x:v>OK</x:v>
      </x:c>
    </x:row>
    <x:row r="4">
      <x:c r="A4" s="21" t="str">
        <x:f>Base_Costos!B4</x:f>
        <x:v>Amoladoras y Corte</x:v>
      </x:c>
      <x:c r="B4" s="21" t="str">
        <x:f>Base_Costos!C4</x:f>
        <x:v>ATG18-7</x:v>
      </x:c>
      <x:c r="C4" s="21" t="str">
        <x:f>Base_Costos!D4</x:f>
        <x:v>SET DE HERRAMIENTAS A BATERÍA 18V (TALADRO + AMOLADORA)</x:v>
      </x:c>
      <x:c r="D4" s="21" t="str">
        <x:f>Base_Costos!E4</x:f>
        <x:v>Equipo de alta rotación para obra, taller y mantenimiento. Ideal para perforación, fijación y trabajos de uso intensivo según el modelo.</x:v>
      </x:c>
      <x:c r="E4" s="22" t="n">
        <x:f>Base_Costos!J4</x:f>
        <x:v>288600</x:v>
      </x:c>
      <x:c r="F4" s="22" t="n">
        <x:f>Base_Costos!K4</x:f>
        <x:v>274200</x:v>
      </x:c>
      <x:c r="G4" s="21" t="n">
        <x:f>Base_Costos!O4</x:f>
        <x:v>3</x:v>
      </x:c>
      <x:c r="H4" s="21" t="str">
        <x:f>Base_Costos!N4</x:f>
        <x:v>Revisar OCR</x:v>
      </x:c>
    </x:row>
    <x:row r="5">
      <x:c r="A5" s="21" t="str">
        <x:f>Base_Costos!B5</x:f>
        <x:v>Amoladoras y Corte</x:v>
      </x:c>
      <x:c r="B5" s="21" t="str">
        <x:f>Base_Costos!C5</x:f>
        <x:v>AML1300B-8</x:v>
      </x:c>
      <x:c r="C5" s="21" t="str">
        <x:f>Base_Costos!D5</x:f>
        <x:v>AMOLADORA ANGULAR 115 MM 1300</x:v>
      </x:c>
      <x:c r="D5" s="21" t="str">
        <x:f>Base_Costos!E5</x:f>
        <x:v>Producto orientado a corte, desbaste y terminación. Recomendado para metal, obra y mantenimiento general.</x:v>
      </x:c>
      <x:c r="E5" s="22" t="n">
        <x:f>Base_Costos!J5</x:f>
        <x:v>101100</x:v>
      </x:c>
      <x:c r="F5" s="22" t="n">
        <x:f>Base_Costos!K5</x:f>
        <x:v>96100</x:v>
      </x:c>
      <x:c r="G5" s="21" t="n">
        <x:f>Base_Costos!O5</x:f>
        <x:v>4</x:v>
      </x:c>
      <x:c r="H5" s="21" t="str">
        <x:f>Base_Costos!N5</x:f>
        <x:v>Revisar OCR</x:v>
      </x:c>
    </x:row>
    <x:row r="6">
      <x:c r="A6" s="21" t="str">
        <x:f>Base_Costos!B6</x:f>
        <x:v>Amoladoras y Corte</x:v>
      </x:c>
      <x:c r="B6" s="21" t="str">
        <x:f>Base_Costos!C6</x:f>
        <x:v>AML2200-8</x:v>
      </x:c>
      <x:c r="C6" s="21" t="str">
        <x:f>Base_Costos!D6</x:f>
        <x:v>AMOLADORA ANGULAR 180MM 2200W LUSQTOFF</x:v>
      </x:c>
      <x:c r="D6" s="21" t="str">
        <x:f>Base_Costos!E6</x:f>
        <x:v>Producto orientado a corte, desbaste y terminación. Recomendado para metal, obra y mantenimiento general.</x:v>
      </x:c>
      <x:c r="E6" s="22" t="n">
        <x:f>Base_Costos!J6</x:f>
        <x:v>270600</x:v>
      </x:c>
      <x:c r="F6" s="22" t="n">
        <x:f>Base_Costos!K6</x:f>
        <x:v>257100</x:v>
      </x:c>
      <x:c r="G6" s="21" t="n">
        <x:f>Base_Costos!O6</x:f>
        <x:v>4</x:v>
      </x:c>
      <x:c r="H6" s="21" t="str">
        <x:f>Base_Costos!N6</x:f>
        <x:v>Revisar OCR</x:v>
      </x:c>
    </x:row>
    <x:row r="7">
      <x:c r="A7" s="21" t="str">
        <x:f>Base_Costos!B7</x:f>
        <x:v>Amoladoras y Corte</x:v>
      </x:c>
      <x:c r="B7" s="21" t="str">
        <x:f>Base_Costos!C7</x:f>
        <x:v>AML850-9</x:v>
      </x:c>
      <x:c r="C7" s="21" t="str">
        <x:f>Base_Costos!D7</x:f>
        <x:v>AMOLADORA ANGULAR 850W</x:v>
      </x:c>
      <x:c r="D7" s="21" t="str">
        <x:f>Base_Costos!E7</x:f>
        <x:v>Producto orientado a corte, desbaste y terminación. Recomendado para metal, obra y mantenimiento general.</x:v>
      </x:c>
      <x:c r="E7" s="22" t="n">
        <x:f>Base_Costos!J7</x:f>
        <x:v>63200</x:v>
      </x:c>
      <x:c r="F7" s="22" t="n">
        <x:f>Base_Costos!K7</x:f>
        <x:v>60100</x:v>
      </x:c>
      <x:c r="G7" s="21" t="n">
        <x:f>Base_Costos!O7</x:f>
        <x:v>4</x:v>
      </x:c>
      <x:c r="H7" s="21" t="str">
        <x:f>Base_Costos!N7</x:f>
        <x:v>Revisar OCR</x:v>
      </x:c>
    </x:row>
    <x:row r="8">
      <x:c r="A8" s="21" t="str">
        <x:f>Base_Costos!B8</x:f>
        <x:v>Taladros / 220V / Batería / Accesorios</x:v>
      </x:c>
      <x:c r="B8" s="21" t="str">
        <x:f>Base_Costos!C8</x:f>
        <x:v>TIL23-8KB</x:v>
      </x:c>
      <x:c r="C8" s="21" t="str">
        <x:f>Base_Costos!D8</x:f>
        <x:v>TALADRO ATORNILLADOR 12v</x:v>
      </x:c>
      <x:c r="D8" s="21" t="str">
        <x:f>Base_Costos!E8</x:f>
        <x:v>Equipo de alta rotación para obra, taller y mantenimiento. Ideal para perforación, fijación y trabajos de uso intensivo según el modelo.</x:v>
      </x:c>
      <x:c r="E8" s="22" t="n">
        <x:f>Base_Costos!J8</x:f>
        <x:v>126800</x:v>
      </x:c>
      <x:c r="F8" s="22" t="n">
        <x:f>Base_Costos!K8</x:f>
        <x:v>120500</x:v>
      </x:c>
      <x:c r="G8" s="21" t="n">
        <x:f>Base_Costos!O8</x:f>
        <x:v>5</x:v>
      </x:c>
      <x:c r="H8" s="21" t="str">
        <x:f>Base_Costos!N8</x:f>
        <x:v>OK</x:v>
      </x:c>
    </x:row>
    <x:row r="9">
      <x:c r="A9" s="21" t="str">
        <x:f>Base_Costos!B9</x:f>
        <x:v>Taladros / 220V / Batería / Accesorios</x:v>
      </x:c>
      <x:c r="B9" s="21" t="str">
        <x:f>Base_Costos!C9</x:f>
        <x:v>TAL12-8A</x:v>
      </x:c>
      <x:c r="C9" s="21" t="str">
        <x:f>Base_Costos!D9</x:f>
        <x:v>taladro atornillador inalámbrico 12 v</x:v>
      </x:c>
      <x:c r="D9" s="21" t="str">
        <x:f>Base_Costos!E9</x:f>
        <x:v>Equipo de alta rotación para obra, taller y mantenimiento. Ideal para perforación, fijación y trabajos de uso intensivo según el modelo.</x:v>
      </x:c>
      <x:c r="E9" s="22" t="n">
        <x:f>Base_Costos!J9</x:f>
        <x:v>129600</x:v>
      </x:c>
      <x:c r="F9" s="22" t="n">
        <x:f>Base_Costos!K9</x:f>
        <x:v>123200</x:v>
      </x:c>
      <x:c r="G9" s="21" t="n">
        <x:f>Base_Costos!O9</x:f>
        <x:v>5</x:v>
      </x:c>
      <x:c r="H9" s="21" t="str">
        <x:f>Base_Costos!N9</x:f>
        <x:v>OK</x:v>
      </x:c>
    </x:row>
    <x:row r="10">
      <x:c r="A10" s="21" t="str">
        <x:f>Base_Costos!B10</x:f>
        <x:v>Taladros / 220V / Batería / Accesorios</x:v>
      </x:c>
      <x:c r="B10" s="21" t="str">
        <x:f>Base_Costos!C10</x:f>
        <x:v>ATL710-8</x:v>
      </x:c>
      <x:c r="C10" s="21" t="str">
        <x:f>Base_Costos!D10</x:f>
        <x:v>ATORNILLADOR CON TOPE</x:v>
      </x:c>
      <x:c r="D10" s="21" t="str">
        <x:f>Base_Costos!E10</x:f>
        <x:v>Equipo de alta rotación para obra, taller y mantenimiento. Ideal para perforación, fijación y trabajos de uso intensivo según el modelo.</x:v>
      </x:c>
      <x:c r="E10" s="22" t="n">
        <x:f>Base_Costos!J10</x:f>
        <x:v>113000</x:v>
      </x:c>
      <x:c r="F10" s="22" t="n">
        <x:f>Base_Costos!K10</x:f>
        <x:v>107400</x:v>
      </x:c>
      <x:c r="G10" s="21" t="n">
        <x:f>Base_Costos!O10</x:f>
        <x:v>6</x:v>
      </x:c>
      <x:c r="H10" s="21" t="str">
        <x:f>Base_Costos!N10</x:f>
        <x:v>Revisar OCR</x:v>
      </x:c>
    </x:row>
    <x:row r="11">
      <x:c r="A11" s="21" t="str">
        <x:f>Base_Costos!B11</x:f>
        <x:v>Taladros / 220V / Batería / Accesorios</x:v>
      </x:c>
      <x:c r="B11" s="21" t="str">
        <x:f>Base_Costos!C11</x:f>
        <x:v>ATL18-9B</x:v>
      </x:c>
      <x:c r="C11" s="21" t="str">
        <x:f>Base_Costos!D11</x:f>
        <x:v>TALADRO 13 MM EN KIT CON 2 BATERIAS, VALIJA Y MECHAS</x:v>
      </x:c>
      <x:c r="D11" s="21" t="str">
        <x:f>Base_Costos!E11</x:f>
        <x:v>Equipo de alta rotación para obra, taller y mantenimiento. Ideal para perforación, fijación y trabajos de uso intensivo según el modelo.</x:v>
      </x:c>
      <x:c r="E11" s="22" t="n">
        <x:f>Base_Costos!J11</x:f>
        <x:v>163800</x:v>
      </x:c>
      <x:c r="F11" s="22" t="n">
        <x:f>Base_Costos!K11</x:f>
        <x:v>155700</x:v>
      </x:c>
      <x:c r="G11" s="21" t="n">
        <x:f>Base_Costos!O11</x:f>
        <x:v>6</x:v>
      </x:c>
      <x:c r="H11" s="21" t="str">
        <x:f>Base_Costos!N11</x:f>
        <x:v>Revisar OCR</x:v>
      </x:c>
    </x:row>
    <x:row r="12">
      <x:c r="A12" s="21" t="str">
        <x:f>Base_Costos!B12</x:f>
        <x:v>Taladros / 220V / Batería / Accesorios</x:v>
      </x:c>
      <x:c r="B12" s="21" t="str">
        <x:f>Base_Costos!C12</x:f>
        <x:v>TIL45-8BK</x:v>
      </x:c>
      <x:c r="C12" s="21" t="str">
        <x:f>Base_Costos!D12</x:f>
        <x:v>TALADRO ATORNILLADOR PERCUTOR BRUSHLESS 13MM A BATERIA</x:v>
      </x:c>
      <x:c r="D12" s="21" t="str">
        <x:f>Base_Costos!E12</x:f>
        <x:v>Equipo de alta rotación para obra, taller y mantenimiento. Ideal para perforación, fijación y trabajos de uso intensivo según el modelo.</x:v>
      </x:c>
      <x:c r="E12" s="22" t="n">
        <x:f>Base_Costos!J12</x:f>
        <x:v>188000</x:v>
      </x:c>
      <x:c r="F12" s="22" t="n">
        <x:f>Base_Costos!K12</x:f>
        <x:v>178600</x:v>
      </x:c>
      <x:c r="G12" s="21" t="n">
        <x:f>Base_Costos!O12</x:f>
        <x:v>6</x:v>
      </x:c>
      <x:c r="H12" s="21" t="str">
        <x:f>Base_Costos!N12</x:f>
        <x:v>Revisar OCR</x:v>
      </x:c>
    </x:row>
    <x:row r="13">
      <x:c r="A13" s="21" t="str">
        <x:f>Base_Costos!B13</x:f>
        <x:v>Taladros / 220V / Batería / Accesorios</x:v>
      </x:c>
      <x:c r="B13" s="21" t="str">
        <x:f>Base_Costos!C13</x:f>
        <x:v>RML850-7</x:v>
      </x:c>
      <x:c r="C13" s="21" t="str">
        <x:f>Base_Costos!D13</x:f>
        <x:v>Rotomartillo 800w</x:v>
      </x:c>
      <x:c r="D13" s="21" t="str">
        <x:f>Base_Costos!E13</x:f>
        <x:v>Equipo de alta rotación para obra, taller y mantenimiento. Ideal para perforación, fijación y trabajos de uso intensivo según el modelo.</x:v>
      </x:c>
      <x:c r="E13" s="22" t="n">
        <x:f>Base_Costos!J13</x:f>
        <x:v>98900</x:v>
      </x:c>
      <x:c r="F13" s="22" t="n">
        <x:f>Base_Costos!K13</x:f>
        <x:v>94000</x:v>
      </x:c>
      <x:c r="G13" s="21" t="n">
        <x:f>Base_Costos!O13</x:f>
        <x:v>7</x:v>
      </x:c>
      <x:c r="H13" s="21" t="str">
        <x:f>Base_Costos!N13</x:f>
        <x:v>OK</x:v>
      </x:c>
    </x:row>
    <x:row r="14">
      <x:c r="A14" s="21" t="str">
        <x:f>Base_Costos!B14</x:f>
        <x:v>Taladros / 220V / Batería / Accesorios</x:v>
      </x:c>
      <x:c r="B14" s="21" t="str">
        <x:f>Base_Costos!C14</x:f>
        <x:v>TAGP12-7A</x:v>
      </x:c>
      <x:c r="C14" s="21" t="str">
        <x:f>Base_Costos!D14</x:f>
        <x:v>TALADRO ATORNILLADOR 12V</x:v>
      </x:c>
      <x:c r="D14" s="21" t="str">
        <x:f>Base_Costos!E14</x:f>
        <x:v>Equipo de alta rotación para obra, taller y mantenimiento. Ideal para perforación, fijación y trabajos de uso intensivo según el modelo.</x:v>
      </x:c>
      <x:c r="E14" s="22" t="n">
        <x:f>Base_Costos!J14</x:f>
        <x:v>112500</x:v>
      </x:c>
      <x:c r="F14" s="22" t="n">
        <x:f>Base_Costos!K14</x:f>
        <x:v>106900</x:v>
      </x:c>
      <x:c r="G14" s="21" t="n">
        <x:f>Base_Costos!O14</x:f>
        <x:v>7</x:v>
      </x:c>
      <x:c r="H14" s="21" t="str">
        <x:f>Base_Costos!N14</x:f>
        <x:v>Revisar OCR</x:v>
      </x:c>
    </x:row>
    <x:row r="15">
      <x:c r="A15" s="21" t="str">
        <x:f>Base_Costos!B15</x:f>
        <x:v>Taladros / 220V / Batería / Accesorios</x:v>
      </x:c>
      <x:c r="B15" s="21" t="str">
        <x:f>Base_Costos!C15</x:f>
        <x:v>L2130</x:v>
      </x:c>
      <x:c r="C15" s="21" t="str">
        <x:f>Base_Costos!D15</x:f>
        <x:v>JUEGO DE BROCAS 25 PCS</x:v>
      </x:c>
      <x:c r="D15" s="21" t="str">
        <x:f>Base_Costos!E15</x:f>
        <x:v>Herramienta o conjunto para organización y trabajo de taller. Producto práctico para mecánica, mantenimiento y uso profesional.</x:v>
      </x:c>
      <x:c r="E15" s="22" t="n">
        <x:f>Base_Costos!J15</x:f>
        <x:v>106100</x:v>
      </x:c>
      <x:c r="F15" s="22" t="n">
        <x:f>Base_Costos!K15</x:f>
        <x:v>100800</x:v>
      </x:c>
      <x:c r="G15" s="21" t="n">
        <x:f>Base_Costos!O15</x:f>
        <x:v>8</x:v>
      </x:c>
      <x:c r="H15" s="21" t="str">
        <x:f>Base_Costos!N15</x:f>
        <x:v>OK</x:v>
      </x:c>
    </x:row>
    <x:row r="16">
      <x:c r="A16" s="21" t="str">
        <x:f>Base_Costos!B16</x:f>
        <x:v>Taladros / 220V / Batería / Accesorios</x:v>
      </x:c>
      <x:c r="B16" s="21" t="str">
        <x:f>Base_Costos!C16</x:f>
        <x:v>RML1050-8</x:v>
      </x:c>
      <x:c r="C16" s="21" t="str">
        <x:f>Base_Costos!D16</x:f>
        <x:v>ROTOMARTILLO 1050 W</x:v>
      </x:c>
      <x:c r="D16" s="21" t="str">
        <x:f>Base_Costos!E16</x:f>
        <x:v>Equipo de alta rotación para obra, taller y mantenimiento. Ideal para perforación, fijación y trabajos de uso intensivo según el modelo.</x:v>
      </x:c>
      <x:c r="E16" s="22" t="n">
        <x:f>Base_Costos!J16</x:f>
        <x:v>175700</x:v>
      </x:c>
      <x:c r="F16" s="22" t="n">
        <x:f>Base_Costos!K16</x:f>
        <x:v>167000</x:v>
      </x:c>
      <x:c r="G16" s="21" t="n">
        <x:f>Base_Costos!O16</x:f>
        <x:v>8</x:v>
      </x:c>
      <x:c r="H16" s="21" t="str">
        <x:f>Base_Costos!N16</x:f>
        <x:v>OK</x:v>
      </x:c>
    </x:row>
    <x:row r="17">
      <x:c r="A17" s="21" t="str">
        <x:f>Base_Costos!B17</x:f>
        <x:v>Taladros / 220V / Batería / Accesorios</x:v>
      </x:c>
      <x:c r="B17" s="21" t="str">
        <x:f>Base_Costos!C17</x:f>
        <x:v>RML4000-9BK</x:v>
      </x:c>
      <x:c r="C17" s="21" t="str">
        <x:f>Base_Costos!D17</x:f>
        <x:v>ROTOMARTILLO INALAMBRICO SDS PLUS 2.5J</x:v>
      </x:c>
      <x:c r="D17" s="21" t="str">
        <x:f>Base_Costos!E17</x:f>
        <x:v>Equipo de alta rotación para obra, taller y mantenimiento. Ideal para perforación, fijación y trabajos de uso intensivo según el modelo.</x:v>
      </x:c>
      <x:c r="E17" s="22" t="n">
        <x:f>Base_Costos!J17</x:f>
        <x:v>195800</x:v>
      </x:c>
      <x:c r="F17" s="22" t="n">
        <x:f>Base_Costos!K17</x:f>
        <x:v>186100</x:v>
      </x:c>
      <x:c r="G17" s="21" t="n">
        <x:f>Base_Costos!O17</x:f>
        <x:v>8</x:v>
      </x:c>
      <x:c r="H17" s="21" t="str">
        <x:f>Base_Costos!N17</x:f>
        <x:v>Revisar OCR</x:v>
      </x:c>
    </x:row>
    <x:row r="18">
      <x:c r="A18" s="21" t="str">
        <x:f>Base_Costos!B18</x:f>
        <x:v>Taladros / 220V / Batería / Accesorios</x:v>
      </x:c>
      <x:c r="B18" s="21" t="str">
        <x:f>Base_Costos!C18</x:f>
        <x:v>JATL82-8</x:v>
      </x:c>
      <x:c r="C18" s="21" t="str">
        <x:f>Base_Costos!D18</x:f>
        <x:v>JUEGO DE ACCESORIOS PARA TALADRO</x:v>
      </x:c>
      <x:c r="D18" s="21" t="str">
        <x:f>Base_Costos!E18</x:f>
        <x:v>Equipo de alta rotación para obra, taller y mantenimiento. Ideal para perforación, fijación y trabajos de uso intensivo según el modelo.</x:v>
      </x:c>
      <x:c r="E18" s="22" t="n">
        <x:f>Base_Costos!J18</x:f>
        <x:v>64100</x:v>
      </x:c>
      <x:c r="F18" s="22" t="n">
        <x:f>Base_Costos!K18</x:f>
        <x:v>60900</x:v>
      </x:c>
      <x:c r="G18" s="21" t="n">
        <x:f>Base_Costos!O18</x:f>
        <x:v>9</x:v>
      </x:c>
      <x:c r="H18" s="21" t="str">
        <x:f>Base_Costos!N18</x:f>
        <x:v>Revisar OCR</x:v>
      </x:c>
    </x:row>
    <x:row r="19">
      <x:c r="A19" s="21" t="str">
        <x:f>Base_Costos!B19</x:f>
        <x:v>Taladros / 220V / Batería / Accesorios</x:v>
      </x:c>
      <x:c r="B19" s="21" t="str">
        <x:f>Base_Costos!C19</x:f>
        <x:v>JMPL100-8</x:v>
      </x:c>
      <x:c r="C19" s="21" t="str">
        <x:f>Base_Costos!D19</x:f>
        <x:v>JUEGO DE MECHAS Y PUNTAS 100 PIEZAS</x:v>
      </x:c>
      <x:c r="D19" s="21" t="str">
        <x:f>Base_Costos!E19</x:f>
        <x:v>Herramienta o conjunto para organización y trabajo de taller. Producto práctico para mecánica, mantenimiento y uso profesional.</x:v>
      </x:c>
      <x:c r="E19" s="22" t="n">
        <x:f>Base_Costos!J19</x:f>
        <x:v>82400</x:v>
      </x:c>
      <x:c r="F19" s="22" t="n">
        <x:f>Base_Costos!K19</x:f>
        <x:v>78300</x:v>
      </x:c>
      <x:c r="G19" s="21" t="n">
        <x:f>Base_Costos!O19</x:f>
        <x:v>9</x:v>
      </x:c>
      <x:c r="H19" s="21" t="str">
        <x:f>Base_Costos!N19</x:f>
        <x:v>OK</x:v>
      </x:c>
    </x:row>
    <x:row r="20">
      <x:c r="A20" s="21" t="str">
        <x:f>Base_Costos!B20</x:f>
        <x:v>Taladros / 220V / Batería / Accesorios</x:v>
      </x:c>
      <x:c r="B20" s="21" t="str">
        <x:f>Base_Costos!C20</x:f>
        <x:v>11047</x:v>
      </x:c>
      <x:c r="C20" s="21" t="str">
        <x:f>Base_Costos!D20</x:f>
        <x:v>JUEGO DE PUNTAS 40 PCS</x:v>
      </x:c>
      <x:c r="D20" s="21" t="str">
        <x:f>Base_Costos!E20</x:f>
        <x:v>Herramienta o conjunto para organización y trabajo de taller. Producto práctico para mecánica, mantenimiento y uso profesional.</x:v>
      </x:c>
      <x:c r="E20" s="22" t="n">
        <x:f>Base_Costos!J20</x:f>
        <x:v>68500</x:v>
      </x:c>
      <x:c r="F20" s="22" t="n">
        <x:f>Base_Costos!K20</x:f>
        <x:v>65100</x:v>
      </x:c>
      <x:c r="G20" s="21" t="n">
        <x:f>Base_Costos!O20</x:f>
        <x:v>9</x:v>
      </x:c>
      <x:c r="H20" s="21" t="str">
        <x:f>Base_Costos!N20</x:f>
        <x:v>OK</x:v>
      </x:c>
    </x:row>
    <x:row r="21">
      <x:c r="A21" s="21" t="str">
        <x:f>Base_Costos!B21</x:f>
        <x:v>Taladros / 220V / Batería / Accesorios</x:v>
      </x:c>
      <x:c r="B21" s="21" t="str">
        <x:f>Base_Costos!C21</x:f>
        <x:v>KATL-8</x:v>
      </x:c>
      <x:c r="C21" s="21" t="str">
        <x:f>Base_Costos!D21</x:f>
        <x:v>KIT AMOLADORA 720W + TALADRO</x:v>
      </x:c>
      <x:c r="D21" s="21" t="str">
        <x:f>Base_Costos!E21</x:f>
        <x:v>Equipo de alta rotación para obra, taller y mantenimiento. Ideal para perforación, fijación y trabajos de uso intensivo según el modelo.</x:v>
      </x:c>
      <x:c r="E21" s="22" t="n">
        <x:f>Base_Costos!J21</x:f>
        <x:v>145900</x:v>
      </x:c>
      <x:c r="F21" s="22" t="n">
        <x:f>Base_Costos!K21</x:f>
        <x:v>138700</x:v>
      </x:c>
      <x:c r="G21" s="21" t="n">
        <x:f>Base_Costos!O21</x:f>
        <x:v>10</x:v>
      </x:c>
      <x:c r="H21" s="21" t="str">
        <x:f>Base_Costos!N21</x:f>
        <x:v>Revisar OCR</x:v>
      </x:c>
    </x:row>
    <x:row r="22">
      <x:c r="A22" s="21" t="str">
        <x:f>Base_Costos!B22</x:f>
        <x:v>Taladros / 220V / Batería / Accesorios</x:v>
      </x:c>
      <x:c r="B22" s="21" t="str">
        <x:f>Base_Costos!C22</x:f>
        <x:v>LH-199BK</x:v>
      </x:c>
      <x:c r="C22" s="21" t="str">
        <x:f>Base_Costos!D22</x:f>
        <x:v>TALADRO ATORNILLADOR INALAMBRICO BRUSHLESS GARDEN PLUS</x:v>
      </x:c>
      <x:c r="D22" s="21" t="str">
        <x:f>Base_Costos!E22</x:f>
        <x:v>Equipo de alta rotación para obra, taller y mantenimiento. Ideal para perforación, fijación y trabajos de uso intensivo según el modelo.</x:v>
      </x:c>
      <x:c r="E22" s="22" t="n">
        <x:f>Base_Costos!J22</x:f>
        <x:v>116000</x:v>
      </x:c>
      <x:c r="F22" s="22" t="n">
        <x:f>Base_Costos!K22</x:f>
        <x:v>110200</x:v>
      </x:c>
      <x:c r="G22" s="21" t="n">
        <x:f>Base_Costos!O22</x:f>
        <x:v>10</x:v>
      </x:c>
      <x:c r="H22" s="21" t="str">
        <x:f>Base_Costos!N22</x:f>
        <x:v>Revisar OCR</x:v>
      </x:c>
    </x:row>
    <x:row r="23">
      <x:c r="A23" s="21" t="str">
        <x:f>Base_Costos!B23</x:f>
        <x:v>Taladros / 220V / Batería / Accesorios</x:v>
      </x:c>
      <x:c r="B23" s="21" t="str">
        <x:f>Base_Costos!C23</x:f>
        <x:v>LIL900-8</x:v>
      </x:c>
      <x:c r="C23" s="21" t="str">
        <x:f>Base_Costos!D23</x:f>
        <x:v>LLAVE DE IMPACTO 900W</x:v>
      </x:c>
      <x:c r="D23" s="21" t="str">
        <x:f>Base_Costos!E23</x:f>
        <x:v>Herramienta o conjunto para organización y trabajo de taller. Producto práctico para mecánica, mantenimiento y uso profesional.</x:v>
      </x:c>
      <x:c r="E23" s="22" t="n">
        <x:f>Base_Costos!J23</x:f>
        <x:v>188300</x:v>
      </x:c>
      <x:c r="F23" s="22" t="n">
        <x:f>Base_Costos!K23</x:f>
        <x:v>178900</x:v>
      </x:c>
      <x:c r="G23" s="21" t="n">
        <x:f>Base_Costos!O23</x:f>
        <x:v>11</x:v>
      </x:c>
      <x:c r="H23" s="21" t="str">
        <x:f>Base_Costos!N23</x:f>
        <x:v>OK</x:v>
      </x:c>
    </x:row>
    <x:row r="24">
      <x:c r="A24" s="21" t="str">
        <x:f>Base_Costos!B24</x:f>
        <x:v>Taladros / 220V / Batería / Accesorios</x:v>
      </x:c>
      <x:c r="B24" s="21" t="str">
        <x:f>Base_Costos!C24</x:f>
        <x:v>LIGP530-78</x:v>
      </x:c>
      <x:c r="C24" s="21" t="str">
        <x:f>Base_Costos!D24</x:f>
        <x:v>LLAVE DE IMPACTO INALAMBRICA</x:v>
      </x:c>
      <x:c r="D24" s="21" t="str">
        <x:f>Base_Costos!E24</x:f>
        <x:v>Herramienta o conjunto para organización y trabajo de taller. Producto práctico para mecánica, mantenimiento y uso profesional.</x:v>
      </x:c>
      <x:c r="E24" s="22" t="n">
        <x:f>Base_Costos!J24</x:f>
        <x:v>233900</x:v>
      </x:c>
      <x:c r="F24" s="22" t="n">
        <x:f>Base_Costos!K24</x:f>
        <x:v>222300</x:v>
      </x:c>
      <x:c r="G24" s="21" t="n">
        <x:f>Base_Costos!O24</x:f>
        <x:v>11</x:v>
      </x:c>
      <x:c r="H24" s="21" t="str">
        <x:f>Base_Costos!N24</x:f>
        <x:v>Revisar OCR</x:v>
      </x:c>
    </x:row>
    <x:row r="25">
      <x:c r="A25" s="21" t="str">
        <x:f>Base_Costos!B25</x:f>
        <x:v>Taladros / 220V / Batería / Accesorios</x:v>
      </x:c>
      <x:c r="B25" s="21" t="str">
        <x:f>Base_Costos!C25</x:f>
        <x:v>LTA750</x:v>
      </x:c>
      <x:c r="C25" s="21" t="str">
        <x:f>Base_Costos!D25</x:f>
        <x:v>TALADRO CON PERCUTOR 750W LUSQTOFF</x:v>
      </x:c>
      <x:c r="D25" s="21" t="str">
        <x:f>Base_Costos!E25</x:f>
        <x:v>Equipo de alta rotación para obra, taller y mantenimiento. Ideal para perforación, fijación y trabajos de uso intensivo según el modelo.</x:v>
      </x:c>
      <x:c r="E25" s="22" t="n">
        <x:f>Base_Costos!J25</x:f>
        <x:v>63600</x:v>
      </x:c>
      <x:c r="F25" s="22" t="n">
        <x:f>Base_Costos!K25</x:f>
        <x:v>60500</x:v>
      </x:c>
      <x:c r="G25" s="21" t="n">
        <x:f>Base_Costos!O25</x:f>
        <x:v>11</x:v>
      </x:c>
      <x:c r="H25" s="21" t="str">
        <x:f>Base_Costos!N25</x:f>
        <x:v>Revisar OCR</x:v>
      </x:c>
    </x:row>
    <x:row r="26">
      <x:c r="A26" s="21" t="str">
        <x:f>Base_Costos!B26</x:f>
        <x:v>Taladros / 220V / Batería / Accesorios</x:v>
      </x:c>
      <x:c r="B26" s="21" t="str">
        <x:f>Base_Costos!C26</x:f>
        <x:v>ADL4-8</x:v>
      </x:c>
      <x:c r="C26" s="21" t="str">
        <x:f>Base_Costos!D26</x:f>
        <x:v>ATORNILLADOR / DESTORNILLADOR INALAMBRICO 4V</x:v>
      </x:c>
      <x:c r="D26" s="21" t="str">
        <x:f>Base_Costos!E26</x:f>
        <x:v>Equipo de alta rotación para obra, taller y mantenimiento. Ideal para perforación, fijación y trabajos de uso intensivo según el modelo.</x:v>
      </x:c>
      <x:c r="E26" s="22" t="n">
        <x:f>Base_Costos!J26</x:f>
        <x:v>76200</x:v>
      </x:c>
      <x:c r="F26" s="22" t="n">
        <x:f>Base_Costos!K26</x:f>
        <x:v>72400</x:v>
      </x:c>
      <x:c r="G26" s="21" t="n">
        <x:f>Base_Costos!O26</x:f>
        <x:v>12</x:v>
      </x:c>
      <x:c r="H26" s="21" t="str">
        <x:f>Base_Costos!N26</x:f>
        <x:v>OK</x:v>
      </x:c>
    </x:row>
    <x:row r="27">
      <x:c r="A27" s="21" t="str">
        <x:f>Base_Costos!B27</x:f>
        <x:v>Taladros / 220V / Batería / Accesorios</x:v>
      </x:c>
      <x:c r="B27" s="21" t="str">
        <x:f>Base_Costos!C27</x:f>
        <x:v>MTL150-9</x:v>
      </x:c>
      <x:c r="C27" s="21" t="str">
        <x:f>Base_Costos!D27</x:f>
        <x:v>MINI TORNO CON ACCESORIOS</x:v>
      </x:c>
      <x:c r="D27" s="21" t="str">
        <x:f>Base_Costos!E27</x:f>
        <x:v>Producto Lusqtoff para uso profesional, taller, hogar o mantenimiento. Consultar disponibilidad y garantía oficial.</x:v>
      </x:c>
      <x:c r="E27" s="22" t="n">
        <x:f>Base_Costos!J27</x:f>
        <x:v>94200</x:v>
      </x:c>
      <x:c r="F27" s="22" t="n">
        <x:f>Base_Costos!K27</x:f>
        <x:v>89500</x:v>
      </x:c>
      <x:c r="G27" s="21" t="n">
        <x:f>Base_Costos!O27</x:f>
        <x:v>12</x:v>
      </x:c>
      <x:c r="H27" s="21" t="str">
        <x:f>Base_Costos!N27</x:f>
        <x:v>OK</x:v>
      </x:c>
    </x:row>
    <x:row r="28">
      <x:c r="A28" s="21" t="str">
        <x:f>Base_Costos!B28</x:f>
        <x:v>Taladros / 220V / Batería / Accesorios</x:v>
      </x:c>
      <x:c r="B28" s="21" t="str">
        <x:f>Base_Costos!C28</x:f>
        <x:v>GP-810</x:v>
      </x:c>
      <x:c r="C28" s="21" t="str">
        <x:f>Base_Costos!D28</x:f>
        <x:v>MARTILLO DEMOLEDOR 220V</x:v>
      </x:c>
      <x:c r="D28" s="21" t="str">
        <x:f>Base_Costos!E28</x:f>
        <x:v>Equipo de alta rotación para obra, taller y mantenimiento. Ideal para perforación, fijación y trabajos de uso intensivo según el modelo.</x:v>
      </x:c>
      <x:c r="E28" s="22" t="n">
        <x:f>Base_Costos!J28</x:f>
        <x:v>164700</x:v>
      </x:c>
      <x:c r="F28" s="22" t="n">
        <x:f>Base_Costos!K28</x:f>
        <x:v>156500</x:v>
      </x:c>
      <x:c r="G28" s="21" t="n">
        <x:f>Base_Costos!O28</x:f>
        <x:v>13</x:v>
      </x:c>
      <x:c r="H28" s="21" t="str">
        <x:f>Base_Costos!N28</x:f>
        <x:v>OK</x:v>
      </x:c>
    </x:row>
    <x:row r="29">
      <x:c r="A29" s="21" t="str">
        <x:f>Base_Costos!B29</x:f>
        <x:v>Taladros / 220V / Batería / Accesorios</x:v>
      </x:c>
      <x:c r="B29" s="21" t="str">
        <x:f>Base_Costos!C29</x:f>
        <x:v>DE-16HEX</x:v>
      </x:c>
      <x:c r="C29" s="21" t="str">
        <x:f>Base_Costos!D29</x:f>
        <x:v>MARTILLO DEMOLEDOR ENCASTRE HEXAGONAL 1700W</x:v>
      </x:c>
      <x:c r="D29" s="21" t="str">
        <x:f>Base_Costos!E29</x:f>
        <x:v>Equipo de alta rotación para obra, taller y mantenimiento. Ideal para perforación, fijación y trabajos de uso intensivo según el modelo.</x:v>
      </x:c>
      <x:c r="E29" s="22" t="n">
        <x:f>Base_Costos!J29</x:f>
        <x:v>374200</x:v>
      </x:c>
      <x:c r="F29" s="22" t="n">
        <x:f>Base_Costos!K29</x:f>
        <x:v>355500</x:v>
      </x:c>
      <x:c r="G29" s="21" t="n">
        <x:f>Base_Costos!O29</x:f>
        <x:v>13</x:v>
      </x:c>
      <x:c r="H29" s="21" t="str">
        <x:f>Base_Costos!N29</x:f>
        <x:v>OK</x:v>
      </x:c>
    </x:row>
    <x:row r="30">
      <x:c r="A30" s="21" t="str">
        <x:f>Base_Costos!B30</x:f>
        <x:v>Set de Herramientas Completos / Individuales</x:v>
      </x:c>
      <x:c r="B30" s="21" t="str">
        <x:f>Base_Costos!C30</x:f>
        <x:v>GHL253-8</x:v>
      </x:c>
      <x:c r="C30" s="21" t="str">
        <x:f>Base_Costos!D30</x:f>
        <x:v>GABINETE RACING 253 PIEZAS LUSQTOFF</x:v>
      </x:c>
      <x:c r="D30" s="21" t="str">
        <x:f>Base_Costos!E30</x:f>
        <x:v>Herramienta o conjunto para organización y trabajo de taller. Producto práctico para mecánica, mantenimiento y uso profesional.</x:v>
      </x:c>
      <x:c r="E30" s="22" t="n">
        <x:f>Base_Costos!J30</x:f>
        <x:v>1083100</x:v>
      </x:c>
      <x:c r="F30" s="22" t="n">
        <x:f>Base_Costos!K30</x:f>
        <x:v>1029000</x:v>
      </x:c>
      <x:c r="G30" s="21" t="n">
        <x:f>Base_Costos!O30</x:f>
        <x:v>14</x:v>
      </x:c>
      <x:c r="H30" s="21" t="str">
        <x:f>Base_Costos!N30</x:f>
        <x:v>Revisar OCR</x:v>
      </x:c>
    </x:row>
    <x:row r="31">
      <x:c r="A31" s="21" t="str">
        <x:f>Base_Costos!B31</x:f>
        <x:v>Set de Herramientas Completos / Individuales</x:v>
      </x:c>
      <x:c r="B31" s="21" t="str">
        <x:f>Base_Costos!C31</x:f>
        <x:v>LCHP6-8</x:v>
      </x:c>
      <x:c r="C31" s="21" t="str">
        <x:f>Base_Costos!D31</x:f>
        <x:v>CARRO PORTA HERRAMIENTAS ORGANIZADOR</x:v>
      </x:c>
      <x:c r="D31" s="21" t="str">
        <x:f>Base_Costos!E31</x:f>
        <x:v>Herramienta o conjunto para organización y trabajo de taller. Producto práctico para mecánica, mantenimiento y uso profesional.</x:v>
      </x:c>
      <x:c r="E31" s="22" t="n">
        <x:f>Base_Costos!J31</x:f>
        <x:v>685500</x:v>
      </x:c>
      <x:c r="F31" s="22" t="n">
        <x:f>Base_Costos!K31</x:f>
        <x:v>651300</x:v>
      </x:c>
      <x:c r="G31" s="21" t="n">
        <x:f>Base_Costos!O31</x:f>
        <x:v>15</x:v>
      </x:c>
      <x:c r="H31" s="21" t="str">
        <x:f>Base_Costos!N31</x:f>
        <x:v>OK</x:v>
      </x:c>
    </x:row>
    <x:row r="32">
      <x:c r="A32" s="21" t="str">
        <x:f>Base_Costos!B32</x:f>
        <x:v>Set de Herramientas Completos / Individuales</x:v>
      </x:c>
      <x:c r="B32" s="21" t="str">
        <x:f>Base_Costos!C32</x:f>
        <x:v>LB106</x:v>
      </x:c>
      <x:c r="C32" s="21" t="str">
        <x:f>Base_Costos!D32</x:f>
        <x:v>CARRO PORTA HERRAMIENTAS ORGANIZADOR 3 CAJAS</x:v>
      </x:c>
      <x:c r="D32" s="21" t="str">
        <x:f>Base_Costos!E32</x:f>
        <x:v>Herramienta o conjunto para organización y trabajo de taller. Producto práctico para mecánica, mantenimiento y uso profesional.</x:v>
      </x:c>
      <x:c r="E32" s="22" t="n">
        <x:f>Base_Costos!J32</x:f>
        <x:v>313600</x:v>
      </x:c>
      <x:c r="F32" s="22" t="n">
        <x:f>Base_Costos!K32</x:f>
        <x:v>298000</x:v>
      </x:c>
      <x:c r="G32" s="21" t="n">
        <x:f>Base_Costos!O32</x:f>
        <x:v>15</x:v>
      </x:c>
      <x:c r="H32" s="21" t="str">
        <x:f>Base_Costos!N32</x:f>
        <x:v>OK</x:v>
      </x:c>
    </x:row>
    <x:row r="33">
      <x:c r="A33" s="21" t="str">
        <x:f>Base_Costos!B33</x:f>
        <x:v>Set de Herramientas Completos / Individuales</x:v>
      </x:c>
      <x:c r="B33" s="21" t="str">
        <x:f>Base_Costos!C33</x:f>
        <x:v>BTCL7-8</x:v>
      </x:c>
      <x:c r="C33" s="21" t="str">
        <x:f>Base_Costos!D33</x:f>
        <x:v>BANCO DE TRABAJO CONVERTIBLE 7 EN 1</x:v>
      </x:c>
      <x:c r="D33" s="21" t="str">
        <x:f>Base_Costos!E33</x:f>
        <x:v>Herramienta o conjunto para organización y trabajo de taller. Producto práctico para mecánica, mantenimiento y uso profesional.</x:v>
      </x:c>
      <x:c r="E33" s="22" t="n">
        <x:f>Base_Costos!J33</x:f>
        <x:v>465000</x:v>
      </x:c>
      <x:c r="F33" s="22" t="n">
        <x:f>Base_Costos!K33</x:f>
        <x:v>441800</x:v>
      </x:c>
      <x:c r="G33" s="21" t="n">
        <x:f>Base_Costos!O33</x:f>
        <x:v>16</x:v>
      </x:c>
      <x:c r="H33" s="21" t="str">
        <x:f>Base_Costos!N33</x:f>
        <x:v>OK</x:v>
      </x:c>
    </x:row>
    <x:row r="34">
      <x:c r="A34" s="21" t="str">
        <x:f>Base_Costos!B34</x:f>
        <x:v>Set de Herramientas Completos / Individuales</x:v>
      </x:c>
      <x:c r="B34" s="21" t="str">
        <x:f>Base_Costos!C34</x:f>
        <x:v>LQCTI07-8K</x:v>
      </x:c>
      <x:c r="C34" s="21" t="str">
        <x:f>Base_Costos!D34</x:f>
        <x:v>CAJA DE HERRAMIENTAS CON 106 PCS + TAL ADRO PERCUTOR 710W</x:v>
      </x:c>
      <x:c r="D34" s="21" t="str">
        <x:f>Base_Costos!E34</x:f>
        <x:v>Herramienta o conjunto para organización y trabajo de taller. Producto práctico para mecánica, mantenimiento y uso profesional.</x:v>
      </x:c>
      <x:c r="E34" s="22" t="n">
        <x:f>Base_Costos!J34</x:f>
        <x:v>298500</x:v>
      </x:c>
      <x:c r="F34" s="22" t="n">
        <x:f>Base_Costos!K34</x:f>
        <x:v>283600</x:v>
      </x:c>
      <x:c r="G34" s="21" t="n">
        <x:f>Base_Costos!O34</x:f>
        <x:v>16</x:v>
      </x:c>
      <x:c r="H34" s="21" t="str">
        <x:f>Base_Costos!N34</x:f>
        <x:v>OK</x:v>
      </x:c>
    </x:row>
    <x:row r="35">
      <x:c r="A35" s="21" t="str">
        <x:f>Base_Costos!B35</x:f>
        <x:v>Set de Herramientas Completos / Individuales</x:v>
      </x:c>
      <x:c r="B35" s="21" t="str">
        <x:f>Base_Costos!C35</x:f>
        <x:v>BHL3.9</x:v>
      </x:c>
      <x:c r="C35" s="21" t="str">
        <x:f>Base_Costos!D35</x:f>
        <x:v>BANCO PORTAHERRAMIENTAS CON 3</x:v>
      </x:c>
      <x:c r="D35" s="21" t="str">
        <x:f>Base_Costos!E35</x:f>
        <x:v>Herramienta o conjunto para organización y trabajo de taller. Producto práctico para mecánica, mantenimiento y uso profesional.</x:v>
      </x:c>
      <x:c r="E35" s="22" t="n">
        <x:f>Base_Costos!J35</x:f>
        <x:v>279900</x:v>
      </x:c>
      <x:c r="F35" s="22" t="n">
        <x:f>Base_Costos!K35</x:f>
        <x:v>266000</x:v>
      </x:c>
      <x:c r="G35" s="21" t="n">
        <x:f>Base_Costos!O35</x:f>
        <x:v>17</x:v>
      </x:c>
      <x:c r="H35" s="21" t="str">
        <x:f>Base_Costos!N35</x:f>
        <x:v>OK</x:v>
      </x:c>
    </x:row>
    <x:row r="36">
      <x:c r="A36" s="21" t="str">
        <x:f>Base_Costos!B36</x:f>
        <x:v>Set de Herramientas Completos / Individuales</x:v>
      </x:c>
      <x:c r="B36" s="21" t="str">
        <x:f>Base_Costos!C36</x:f>
        <x:v>TC-1350</x:v>
      </x:c>
      <x:c r="C36" s="21" t="str">
        <x:f>Base_Costos!D36</x:f>
        <x:v>MESA PORTA HERRAMIENTAS</x:v>
      </x:c>
      <x:c r="D36" s="21" t="str">
        <x:f>Base_Costos!E36</x:f>
        <x:v>Herramienta o conjunto para organización y trabajo de taller. Producto práctico para mecánica, mantenimiento y uso profesional.</x:v>
      </x:c>
      <x:c r="E36" s="22" t="n">
        <x:f>Base_Costos!J36</x:f>
        <x:v>131300</x:v>
      </x:c>
      <x:c r="F36" s="22" t="n">
        <x:f>Base_Costos!K36</x:f>
        <x:v>124800</x:v>
      </x:c>
      <x:c r="G36" s="21" t="n">
        <x:f>Base_Costos!O36</x:f>
        <x:v>17</x:v>
      </x:c>
      <x:c r="H36" s="21" t="str">
        <x:f>Base_Costos!N36</x:f>
        <x:v>OK</x:v>
      </x:c>
    </x:row>
    <x:row r="37">
      <x:c r="A37" s="21" t="str">
        <x:f>Base_Costos!B37</x:f>
        <x:v>Set de Herramientas Completos / Individuales</x:v>
      </x:c>
      <x:c r="B37" s="21" t="str">
        <x:f>Base_Costos!C37</x:f>
        <x:v>18120</x:v>
      </x:c>
      <x:c r="C37" s="21" t="str">
        <x:f>Base_Costos!D37</x:f>
        <x:v>CAJA DE HERRAMIENTA 23" CIERRE METALICO</x:v>
      </x:c>
      <x:c r="D37" s="21" t="str">
        <x:f>Base_Costos!E37</x:f>
        <x:v>Herramienta o conjunto para organización y trabajo de taller. Producto práctico para mecánica, mantenimiento y uso profesional.</x:v>
      </x:c>
      <x:c r="E37" s="22" t="n">
        <x:f>Base_Costos!J37</x:f>
        <x:v>60400</x:v>
      </x:c>
      <x:c r="F37" s="22" t="n">
        <x:f>Base_Costos!K37</x:f>
        <x:v>57400</x:v>
      </x:c>
      <x:c r="G37" s="21" t="n">
        <x:f>Base_Costos!O37</x:f>
        <x:v>18</x:v>
      </x:c>
      <x:c r="H37" s="21" t="str">
        <x:f>Base_Costos!N37</x:f>
        <x:v>Revisar OCR</x:v>
      </x:c>
    </x:row>
    <x:row r="38">
      <x:c r="A38" s="21" t="str">
        <x:f>Base_Costos!B38</x:f>
        <x:v>Set de Herramientas Completos / Individuales</x:v>
      </x:c>
      <x:c r="B38" s="21" t="str">
        <x:f>Base_Costos!C38</x:f>
        <x:v>L8100</x:v>
      </x:c>
      <x:c r="C38" s="21" t="str">
        <x:f>Base_Costos!D38</x:f>
        <x:v>CAJA DE HERRAMIENTAS 14" CIERRE METALICO</x:v>
      </x:c>
      <x:c r="D38" s="21" t="str">
        <x:f>Base_Costos!E38</x:f>
        <x:v>Herramienta o conjunto para organización y trabajo de taller. Producto práctico para mecánica, mantenimiento y uso profesional.</x:v>
      </x:c>
      <x:c r="E38" s="22" t="n">
        <x:f>Base_Costos!J38</x:f>
        <x:v>21200</x:v>
      </x:c>
      <x:c r="F38" s="22" t="n">
        <x:f>Base_Costos!K38</x:f>
        <x:v>20200</x:v>
      </x:c>
      <x:c r="G38" s="21" t="n">
        <x:f>Base_Costos!O38</x:f>
        <x:v>18</x:v>
      </x:c>
      <x:c r="H38" s="21" t="str">
        <x:f>Base_Costos!N38</x:f>
        <x:v>Revisar OCR</x:v>
      </x:c>
    </x:row>
    <x:row r="39">
      <x:c r="A39" s="21" t="str">
        <x:f>Base_Costos!B39</x:f>
        <x:v>Set de Herramientas Completos / Individuales</x:v>
      </x:c>
      <x:c r="B39" s="21" t="str">
        <x:f>Base_Costos!C39</x:f>
        <x:v>MOCL12-9</x:v>
      </x:c>
      <x:c r="C39" s="21" t="str">
        <x:f>Base_Costos!D39</x:f>
        <x:v>MOCHILA PORTA HERRAMIENTAS</x:v>
      </x:c>
      <x:c r="D39" s="21" t="str">
        <x:f>Base_Costos!E39</x:f>
        <x:v>Herramienta o conjunto para organización y trabajo de taller. Producto práctico para mecánica, mantenimiento y uso profesional.</x:v>
      </x:c>
      <x:c r="E39" s="22" t="n">
        <x:f>Base_Costos!J39</x:f>
        <x:v>85200</x:v>
      </x:c>
      <x:c r="F39" s="22" t="n">
        <x:f>Base_Costos!K39</x:f>
        <x:v>81000</x:v>
      </x:c>
      <x:c r="G39" s="21" t="n">
        <x:f>Base_Costos!O39</x:f>
        <x:v>19</x:v>
      </x:c>
      <x:c r="H39" s="21" t="str">
        <x:f>Base_Costos!N39</x:f>
        <x:v>OK</x:v>
      </x:c>
    </x:row>
    <x:row r="40">
      <x:c r="A40" s="21" t="str">
        <x:f>Base_Costos!B40</x:f>
        <x:v>Set de Herramientas Completos / Individuales</x:v>
      </x:c>
      <x:c r="B40" s="21" t="str">
        <x:f>Base_Costos!C40</x:f>
        <x:v>SHL108-7</x:v>
      </x:c>
      <x:c r="C40" s="21" t="str">
        <x:f>Base_Costos!D40</x:f>
        <x:v>SET 108 PIEZAS GARDEN PLUS</x:v>
      </x:c>
      <x:c r="D40" s="21" t="str">
        <x:f>Base_Costos!E40</x:f>
        <x:v>Herramienta o conjunto para organización y trabajo de taller. Producto práctico para mecánica, mantenimiento y uso profesional.</x:v>
      </x:c>
      <x:c r="E40" s="22" t="n">
        <x:f>Base_Costos!J40</x:f>
        <x:v>134600</x:v>
      </x:c>
      <x:c r="F40" s="22" t="n">
        <x:f>Base_Costos!K40</x:f>
        <x:v>127900</x:v>
      </x:c>
      <x:c r="G40" s="21" t="n">
        <x:f>Base_Costos!O40</x:f>
        <x:v>19</x:v>
      </x:c>
      <x:c r="H40" s="21" t="str">
        <x:f>Base_Costos!N40</x:f>
        <x:v>OK</x:v>
      </x:c>
    </x:row>
    <x:row r="41">
      <x:c r="A41" s="21" t="str">
        <x:f>Base_Costos!B41</x:f>
        <x:v>Set de Herramientas Completos / Individuales</x:v>
      </x:c>
      <x:c r="B41" s="21" t="str">
        <x:f>Base_Costos!C41</x:f>
        <x:v>11032</x:v>
      </x:c>
      <x:c r="C41" s="21" t="str">
        <x:f>Base_Costos!D41</x:f>
        <x:v>SET TERRAJAS Y MACHOS 40 P</x:v>
      </x:c>
      <x:c r="D41" s="21" t="str">
        <x:f>Base_Costos!E41</x:f>
        <x:v>Herramienta o conjunto para organización y trabajo de taller. Producto práctico para mecánica, mantenimiento y uso profesional.</x:v>
      </x:c>
      <x:c r="E41" s="22" t="n">
        <x:f>Base_Costos!J41</x:f>
        <x:v>92500</x:v>
      </x:c>
      <x:c r="F41" s="22" t="n">
        <x:f>Base_Costos!K41</x:f>
        <x:v>87900</x:v>
      </x:c>
      <x:c r="G41" s="21" t="n">
        <x:f>Base_Costos!O41</x:f>
        <x:v>19</x:v>
      </x:c>
      <x:c r="H41" s="21" t="str">
        <x:f>Base_Costos!N41</x:f>
        <x:v>OK</x:v>
      </x:c>
    </x:row>
    <x:row r="42">
      <x:c r="A42" s="21" t="str">
        <x:f>Base_Costos!B42</x:f>
        <x:v>Set de Herramientas Completos / Individuales</x:v>
      </x:c>
      <x:c r="B42" s="21" t="str">
        <x:f>Base_Costos!C42</x:f>
        <x:v>LQCP125</x:v>
      </x:c>
      <x:c r="C42" s="21" t="str">
        <x:f>Base_Costos!D42</x:f>
        <x:v>CAJA DE HERRAMIENTAS PLEGABLE 64 piezas</x:v>
      </x:c>
      <x:c r="D42" s="21" t="str">
        <x:f>Base_Costos!E42</x:f>
        <x:v>Herramienta o conjunto para organización y trabajo de taller. Producto práctico para mecánica, mantenimiento y uso profesional.</x:v>
      </x:c>
      <x:c r="E42" s="22" t="n">
        <x:f>Base_Costos!J42</x:f>
        <x:v>272600</x:v>
      </x:c>
      <x:c r="F42" s="22" t="n">
        <x:f>Base_Costos!K42</x:f>
        <x:v>259000</x:v>
      </x:c>
      <x:c r="G42" s="21" t="n">
        <x:f>Base_Costos!O42</x:f>
        <x:v>20</x:v>
      </x:c>
      <x:c r="H42" s="21" t="str">
        <x:f>Base_Costos!N42</x:f>
        <x:v>OK</x:v>
      </x:c>
    </x:row>
    <x:row r="43">
      <x:c r="A43" s="21" t="str">
        <x:f>Base_Costos!B43</x:f>
        <x:v>Set de Herramientas Completos / Individuales</x:v>
      </x:c>
      <x:c r="B43" s="21" t="str">
        <x:f>Base_Costos!C43</x:f>
        <x:v>11048</x:v>
      </x:c>
      <x:c r="C43" s="21" t="str">
        <x:f>Base_Costos!D43</x:f>
        <x:v>JUEGO DE PUNTAS Y BOCALLAVES 35 PCS</x:v>
      </x:c>
      <x:c r="D43" s="21" t="str">
        <x:f>Base_Costos!E43</x:f>
        <x:v>Herramienta o conjunto para organización y trabajo de taller. Producto práctico para mecánica, mantenimiento y uso profesional.</x:v>
      </x:c>
      <x:c r="E43" s="22" t="n">
        <x:f>Base_Costos!J43</x:f>
        <x:v>80400</x:v>
      </x:c>
      <x:c r="F43" s="22" t="n">
        <x:f>Base_Costos!K43</x:f>
        <x:v>76400</x:v>
      </x:c>
      <x:c r="G43" s="21" t="n">
        <x:f>Base_Costos!O43</x:f>
        <x:v>20</x:v>
      </x:c>
      <x:c r="H43" s="21" t="str">
        <x:f>Base_Costos!N43</x:f>
        <x:v>OK</x:v>
      </x:c>
    </x:row>
    <x:row r="44">
      <x:c r="A44" s="21" t="str">
        <x:f>Base_Costos!B44</x:f>
        <x:v>Set de Herramientas Completos / Individuales</x:v>
      </x:c>
      <x:c r="B44" s="21" t="str">
        <x:f>Base_Costos!C44</x:f>
        <x:v>SHL150-9</x:v>
      </x:c>
      <x:c r="C44" s="21" t="str">
        <x:f>Base_Costos!D44</x:f>
        <x:v>SET RACING LUSQTOFF 150 PIEZAS</x:v>
      </x:c>
      <x:c r="D44" s="21" t="str">
        <x:f>Base_Costos!E44</x:f>
        <x:v>Herramienta o conjunto para organización y trabajo de taller. Producto práctico para mecánica, mantenimiento y uso profesional.</x:v>
      </x:c>
      <x:c r="E44" s="22" t="n">
        <x:f>Base_Costos!J44</x:f>
        <x:v>413800</x:v>
      </x:c>
      <x:c r="F44" s="22" t="n">
        <x:f>Base_Costos!K44</x:f>
        <x:v>393200</x:v>
      </x:c>
      <x:c r="G44" s="21" t="n">
        <x:f>Base_Costos!O44</x:f>
        <x:v>20</x:v>
      </x:c>
      <x:c r="H44" s="21" t="str">
        <x:f>Base_Costos!N44</x:f>
        <x:v>OK</x:v>
      </x:c>
    </x:row>
    <x:row r="45">
      <x:c r="A45" s="21" t="str">
        <x:f>Base_Costos!B45</x:f>
        <x:v>Set de Herramientas Completos / Individuales</x:v>
      </x:c>
      <x:c r="B45" s="21" t="str">
        <x:f>Base_Costos!C45</x:f>
        <x:v>L4906</x:v>
      </x:c>
      <x:c r="C45" s="21" t="str">
        <x:f>Base_Costos!D45</x:f>
        <x:v>JUEGO DE 14 HERRAMIENTAS</x:v>
      </x:c>
      <x:c r="D45" s="21" t="str">
        <x:f>Base_Costos!E45</x:f>
        <x:v>Herramienta o conjunto para organización y trabajo de taller. Producto práctico para mecánica, mantenimiento y uso profesional.</x:v>
      </x:c>
      <x:c r="E45" s="22" t="n">
        <x:f>Base_Costos!J45</x:f>
        <x:v>41400</x:v>
      </x:c>
      <x:c r="F45" s="22" t="n">
        <x:f>Base_Costos!K45</x:f>
        <x:v>39400</x:v>
      </x:c>
      <x:c r="G45" s="21" t="n">
        <x:f>Base_Costos!O45</x:f>
        <x:v>21</x:v>
      </x:c>
      <x:c r="H45" s="21" t="str">
        <x:f>Base_Costos!N45</x:f>
        <x:v>Revisar OCR</x:v>
      </x:c>
    </x:row>
    <x:row r="46">
      <x:c r="A46" s="21" t="str">
        <x:f>Base_Costos!B46</x:f>
        <x:v>Set de Herramientas Completos / Individuales</x:v>
      </x:c>
      <x:c r="B46" s="21" t="str">
        <x:f>Base_Costos!C46</x:f>
        <x:v>L4904</x:v>
      </x:c>
      <x:c r="C46" s="21" t="str">
        <x:f>Base_Costos!D46</x:f>
        <x:v>JUEGO DE 67 HERRAMIENTAS</x:v>
      </x:c>
      <x:c r="D46" s="21" t="str">
        <x:f>Base_Costos!E46</x:f>
        <x:v>Herramienta o conjunto para organización y trabajo de taller. Producto práctico para mecánica, mantenimiento y uso profesional.</x:v>
      </x:c>
      <x:c r="E46" s="22" t="n">
        <x:f>Base_Costos!J46</x:f>
        <x:v>121400</x:v>
      </x:c>
      <x:c r="F46" s="22" t="n">
        <x:f>Base_Costos!K46</x:f>
        <x:v>115400</x:v>
      </x:c>
      <x:c r="G46" s="21" t="n">
        <x:f>Base_Costos!O46</x:f>
        <x:v>21</x:v>
      </x:c>
      <x:c r="H46" s="21" t="str">
        <x:f>Base_Costos!N46</x:f>
        <x:v>Revisar OCR</x:v>
      </x:c>
    </x:row>
    <x:row r="47">
      <x:c r="A47" s="21" t="str">
        <x:f>Base_Costos!B47</x:f>
        <x:v>Set de Herramientas Completos / Individuales</x:v>
      </x:c>
      <x:c r="B47" s="21" t="str">
        <x:f>Base_Costos!C47</x:f>
        <x:v>SHL9-7</x:v>
      </x:c>
      <x:c r="C47" s="21" t="str">
        <x:f>Base_Costos!D47</x:f>
        <x:v>SET 9 PIEZAS</x:v>
      </x:c>
      <x:c r="D47" s="21" t="str">
        <x:f>Base_Costos!E47</x:f>
        <x:v>Herramienta o conjunto para organización y trabajo de taller. Producto práctico para mecánica, mantenimiento y uso profesional.</x:v>
      </x:c>
      <x:c r="E47" s="22" t="n">
        <x:f>Base_Costos!J47</x:f>
        <x:v>50900</x:v>
      </x:c>
      <x:c r="F47" s="22" t="n">
        <x:f>Base_Costos!K47</x:f>
        <x:v>48400</x:v>
      </x:c>
      <x:c r="G47" s="21" t="n">
        <x:f>Base_Costos!O47</x:f>
        <x:v>21</x:v>
      </x:c>
      <x:c r="H47" s="21" t="str">
        <x:f>Base_Costos!N47</x:f>
        <x:v>OK</x:v>
      </x:c>
    </x:row>
    <x:row r="48">
      <x:c r="A48" s="21" t="str">
        <x:f>Base_Costos!B48</x:f>
        <x:v>Set de Herramientas Completos / Individuales</x:v>
      </x:c>
      <x:c r="B48" s="21" t="str">
        <x:f>Base_Costos!C48</x:f>
        <x:v>14950</x:v>
      </x:c>
      <x:c r="C48" s="21" t="str">
        <x:f>Base_Costos!D48</x:f>
        <x:v>CAJA DE HERRAMIENTAS 46PIEZAS</x:v>
      </x:c>
      <x:c r="D48" s="21" t="str">
        <x:f>Base_Costos!E48</x:f>
        <x:v>Herramienta o conjunto para organización y trabajo de taller. Producto práctico para mecánica, mantenimiento y uso profesional.</x:v>
      </x:c>
      <x:c r="E48" s="22" t="n">
        <x:f>Base_Costos!J48</x:f>
        <x:v>83700</x:v>
      </x:c>
      <x:c r="F48" s="22" t="n">
        <x:f>Base_Costos!K48</x:f>
        <x:v>79600</x:v>
      </x:c>
      <x:c r="G48" s="21" t="n">
        <x:f>Base_Costos!O48</x:f>
        <x:v>22</x:v>
      </x:c>
      <x:c r="H48" s="21" t="str">
        <x:f>Base_Costos!N48</x:f>
        <x:v>Revisar OCR</x:v>
      </x:c>
    </x:row>
    <x:row r="49">
      <x:c r="A49" s="21" t="str">
        <x:f>Base_Costos!B49</x:f>
        <x:v>Set de Herramientas Completos / Individuales</x:v>
      </x:c>
      <x:c r="B49" s="21" t="str">
        <x:f>Base_Costos!C49</x:f>
        <x:v>JBL11-8</x:v>
      </x:c>
      <x:c r="C49" s="21" t="str">
        <x:f>Base_Costos!D49</x:f>
        <x:v>JUEGO BOCALLAVES 1/2 11 PZAS</x:v>
      </x:c>
      <x:c r="D49" s="21" t="str">
        <x:f>Base_Costos!E49</x:f>
        <x:v>Herramienta o conjunto para organización y trabajo de taller. Producto práctico para mecánica, mantenimiento y uso profesional.</x:v>
      </x:c>
      <x:c r="E49" s="22" t="n">
        <x:f>Base_Costos!J49</x:f>
        <x:v>58500</x:v>
      </x:c>
      <x:c r="F49" s="22" t="n">
        <x:f>Base_Costos!K49</x:f>
        <x:v>55600</x:v>
      </x:c>
      <x:c r="G49" s="21" t="n">
        <x:f>Base_Costos!O49</x:f>
        <x:v>22</x:v>
      </x:c>
      <x:c r="H49" s="21" t="str">
        <x:f>Base_Costos!N49</x:f>
        <x:v>Revisar OCR</x:v>
      </x:c>
    </x:row>
    <x:row r="50">
      <x:c r="A50" s="21" t="str">
        <x:f>Base_Costos!B50</x:f>
        <x:v>Set de Herramientas Completos / Individuales</x:v>
      </x:c>
      <x:c r="B50" s="21" t="str">
        <x:f>Base_Costos!C50</x:f>
        <x:v>15725</x:v>
      </x:c>
      <x:c r="C50" s="21" t="str">
        <x:f>Base_Costos!D50</x:f>
        <x:v>JUEGO DE BOCALLAVE Y LLAVE CRIQUE 12 PZAS ENCASTRE 1/2</x:v>
      </x:c>
      <x:c r="D50" s="21" t="str">
        <x:f>Base_Costos!E50</x:f>
        <x:v>Herramienta o conjunto para organización y trabajo de taller. Producto práctico para mecánica, mantenimiento y uso profesional.</x:v>
      </x:c>
      <x:c r="E50" s="22" t="n">
        <x:f>Base_Costos!J50</x:f>
        <x:v>57500</x:v>
      </x:c>
      <x:c r="F50" s="22" t="n">
        <x:f>Base_Costos!K50</x:f>
        <x:v>54700</x:v>
      </x:c>
      <x:c r="G50" s="21" t="n">
        <x:f>Base_Costos!O50</x:f>
        <x:v>22</x:v>
      </x:c>
      <x:c r="H50" s="21" t="str">
        <x:f>Base_Costos!N50</x:f>
        <x:v>OK</x:v>
      </x:c>
    </x:row>
    <x:row r="51">
      <x:c r="A51" s="21" t="str">
        <x:f>Base_Costos!B51</x:f>
        <x:v>Set de Herramientas Completos / Individuales</x:v>
      </x:c>
      <x:c r="B51" s="21" t="str">
        <x:f>Base_Costos!C51</x:f>
        <x:v>JLC22-9</x:v>
      </x:c>
      <x:c r="C51" s="21" t="str">
        <x:f>Base_Costos!D51</x:f>
        <x:v>JUEGO DE 22 LLAVES COMBINADAS</x:v>
      </x:c>
      <x:c r="D51" s="21" t="str">
        <x:f>Base_Costos!E51</x:f>
        <x:v>Herramienta o conjunto para organización y trabajo de taller. Producto práctico para mecánica, mantenimiento y uso profesional.</x:v>
      </x:c>
      <x:c r="E51" s="22" t="n">
        <x:f>Base_Costos!J51</x:f>
        <x:v>141200</x:v>
      </x:c>
      <x:c r="F51" s="22" t="n">
        <x:f>Base_Costos!K51</x:f>
        <x:v>134200</x:v>
      </x:c>
      <x:c r="G51" s="21" t="n">
        <x:f>Base_Costos!O51</x:f>
        <x:v>23</x:v>
      </x:c>
      <x:c r="H51" s="21" t="str">
        <x:f>Base_Costos!N51</x:f>
        <x:v>OK</x:v>
      </x:c>
    </x:row>
    <x:row r="52">
      <x:c r="A52" s="21" t="str">
        <x:f>Base_Costos!B52</x:f>
        <x:v>Set de Herramientas Completos / Individuales</x:v>
      </x:c>
      <x:c r="B52" s="21" t="str">
        <x:f>Base_Costos!C52</x:f>
        <x:v>JLC12-9</x:v>
      </x:c>
      <x:c r="C52" s="21" t="str">
        <x:f>Base_Costos!D52</x:f>
        <x:v>JUEGO DE LLAVES COMBINADAS 12 PCS</x:v>
      </x:c>
      <x:c r="D52" s="21" t="str">
        <x:f>Base_Costos!E52</x:f>
        <x:v>Herramienta o conjunto para organización y trabajo de taller. Producto práctico para mecánica, mantenimiento y uso profesional.</x:v>
      </x:c>
      <x:c r="E52" s="22" t="n">
        <x:f>Base_Costos!J52</x:f>
        <x:v>131000</x:v>
      </x:c>
      <x:c r="F52" s="22" t="n">
        <x:f>Base_Costos!K52</x:f>
        <x:v>124500</x:v>
      </x:c>
      <x:c r="G52" s="21" t="n">
        <x:f>Base_Costos!O52</x:f>
        <x:v>23</x:v>
      </x:c>
      <x:c r="H52" s="21" t="str">
        <x:f>Base_Costos!N52</x:f>
        <x:v>OK</x:v>
      </x:c>
    </x:row>
    <x:row r="53">
      <x:c r="A53" s="21" t="str">
        <x:f>Base_Costos!B53</x:f>
        <x:v>Set de Herramientas Completos / Individuales</x:v>
      </x:c>
      <x:c r="B53" s="21" t="str">
        <x:f>Base_Costos!C53</x:f>
        <x:v>JLC9-9</x:v>
      </x:c>
      <x:c r="C53" s="21" t="str">
        <x:f>Base_Costos!D53</x:f>
        <x:v>JUEGO DE LLAVES COMBINADAS CON CRIQUE - 9 PI EZAS</x:v>
      </x:c>
      <x:c r="D53" s="21" t="str">
        <x:f>Base_Costos!E53</x:f>
        <x:v>Herramienta o conjunto para organización y trabajo de taller. Producto práctico para mecánica, mantenimiento y uso profesional.</x:v>
      </x:c>
      <x:c r="E53" s="22" t="n">
        <x:f>Base_Costos!J53</x:f>
        <x:v>106300</x:v>
      </x:c>
      <x:c r="F53" s="22" t="n">
        <x:f>Base_Costos!K53</x:f>
        <x:v>101000</x:v>
      </x:c>
      <x:c r="G53" s="21" t="n">
        <x:f>Base_Costos!O53</x:f>
        <x:v>23</x:v>
      </x:c>
      <x:c r="H53" s="21" t="str">
        <x:f>Base_Costos!N53</x:f>
        <x:v>Revisar OCR</x:v>
      </x:c>
    </x:row>
    <x:row r="54">
      <x:c r="A54" s="21" t="str">
        <x:f>Base_Costos!B54</x:f>
        <x:v>Set de Herramientas Completos / Individuales</x:v>
      </x:c>
      <x:c r="B54" s="21" t="str">
        <x:f>Base_Costos!C54</x:f>
        <x:v>L6908</x:v>
      </x:c>
      <x:c r="C54" s="21" t="str">
        <x:f>Base_Costos!D54</x:f>
        <x:v>JUEGO DE 6 DESTORNILLADORES PASANTES</x:v>
      </x:c>
      <x:c r="D54" s="21" t="str">
        <x:f>Base_Costos!E54</x:f>
        <x:v>Herramienta o conjunto para organización y trabajo de taller. Producto práctico para mecánica, mantenimiento y uso profesional.</x:v>
      </x:c>
      <x:c r="E54" s="22" t="n">
        <x:f>Base_Costos!J54</x:f>
        <x:v>23600</x:v>
      </x:c>
      <x:c r="F54" s="22" t="n">
        <x:f>Base_Costos!K54</x:f>
        <x:v>22500</x:v>
      </x:c>
      <x:c r="G54" s="21" t="n">
        <x:f>Base_Costos!O54</x:f>
        <x:v>24</x:v>
      </x:c>
      <x:c r="H54" s="21" t="str">
        <x:f>Base_Costos!N54</x:f>
        <x:v>OK</x:v>
      </x:c>
    </x:row>
    <x:row r="55">
      <x:c r="A55" s="21" t="str">
        <x:f>Base_Costos!B55</x:f>
        <x:v>Set de Herramientas Completos / Individuales</x:v>
      </x:c>
      <x:c r="B55" s="21" t="str">
        <x:f>Base_Costos!C55</x:f>
        <x:v>16028</x:v>
      </x:c>
      <x:c r="C55" s="21" t="str">
        <x:f>Base_Costos!D55</x:f>
        <x:v>SET DESTORNILLADORES 10 PCS</x:v>
      </x:c>
      <x:c r="D55" s="21" t="str">
        <x:f>Base_Costos!E55</x:f>
        <x:v>Herramienta o conjunto para organización y trabajo de taller. Producto práctico para mecánica, mantenimiento y uso profesional.</x:v>
      </x:c>
      <x:c r="E55" s="22" t="n">
        <x:f>Base_Costos!J55</x:f>
        <x:v>21000</x:v>
      </x:c>
      <x:c r="F55" s="22" t="n">
        <x:f>Base_Costos!K55</x:f>
        <x:v>20000</x:v>
      </x:c>
      <x:c r="G55" s="21" t="n">
        <x:f>Base_Costos!O55</x:f>
        <x:v>24</x:v>
      </x:c>
      <x:c r="H55" s="21" t="str">
        <x:f>Base_Costos!N55</x:f>
        <x:v>OK</x:v>
      </x:c>
    </x:row>
    <x:row r="56">
      <x:c r="A56" s="21" t="str">
        <x:f>Base_Costos!B56</x:f>
        <x:v>Set de Herramientas Completos / Individuales</x:v>
      </x:c>
      <x:c r="B56" s="21" t="str">
        <x:f>Base_Costos!C56</x:f>
        <x:v>L6025</x:v>
      </x:c>
      <x:c r="C56" s="21" t="str">
        <x:f>Base_Costos!D56</x:f>
        <x:v>SET DESTORNILLADORES 18 PCS</x:v>
      </x:c>
      <x:c r="D56" s="21" t="str">
        <x:f>Base_Costos!E56</x:f>
        <x:v>Herramienta o conjunto para organización y trabajo de taller. Producto práctico para mecánica, mantenimiento y uso profesional.</x:v>
      </x:c>
      <x:c r="E56" s="22" t="n">
        <x:f>Base_Costos!J56</x:f>
        <x:v>31400</x:v>
      </x:c>
      <x:c r="F56" s="22" t="n">
        <x:f>Base_Costos!K56</x:f>
        <x:v>29900</x:v>
      </x:c>
      <x:c r="G56" s="21" t="n">
        <x:f>Base_Costos!O56</x:f>
        <x:v>24</x:v>
      </x:c>
      <x:c r="H56" s="21" t="str">
        <x:f>Base_Costos!N56</x:f>
        <x:v>OK</x:v>
      </x:c>
    </x:row>
    <x:row r="57">
      <x:c r="A57" s="21" t="str">
        <x:f>Base_Costos!B57</x:f>
        <x:v>Set de Herramientas Completos / Individuales</x:v>
      </x:c>
      <x:c r="B57" s="21" t="str">
        <x:f>Base_Costos!C57</x:f>
        <x:v>L6914</x:v>
      </x:c>
      <x:c r="C57" s="21" t="str">
        <x:f>Base_Costos!D57</x:f>
        <x:v>JUEGO DE 6 DESTORNILLADORES TORX</x:v>
      </x:c>
      <x:c r="D57" s="21" t="str">
        <x:f>Base_Costos!E57</x:f>
        <x:v>Herramienta o conjunto para organización y trabajo de taller. Producto práctico para mecánica, mantenimiento y uso profesional.</x:v>
      </x:c>
      <x:c r="E57" s="22" t="n">
        <x:f>Base_Costos!J57</x:f>
        <x:v>22300</x:v>
      </x:c>
      <x:c r="F57" s="22" t="n">
        <x:f>Base_Costos!K57</x:f>
        <x:v>21200</x:v>
      </x:c>
      <x:c r="G57" s="21" t="n">
        <x:f>Base_Costos!O57</x:f>
        <x:v>25</x:v>
      </x:c>
      <x:c r="H57" s="21" t="str">
        <x:f>Base_Costos!N57</x:f>
        <x:v>Revisar OCR</x:v>
      </x:c>
    </x:row>
    <x:row r="58">
      <x:c r="A58" s="21" t="str">
        <x:f>Base_Costos!B58</x:f>
        <x:v>Set de Herramientas Completos / Individuales</x:v>
      </x:c>
      <x:c r="B58" s="21" t="str">
        <x:f>Base_Costos!C58</x:f>
        <x:v>11023</x:v>
      </x:c>
      <x:c r="C58" s="21" t="str">
        <x:f>Base_Costos!D58</x:f>
        <x:v>SACA FILTROS A FLEJE 73/85MM</x:v>
      </x:c>
      <x:c r="D58" s="21" t="str">
        <x:f>Base_Costos!E58</x:f>
        <x:v>Producto Lusqtoff para uso profesional, taller, hogar o mantenimiento. Consultar disponibilidad y garantía oficial.</x:v>
      </x:c>
      <x:c r="E58" s="22" t="n">
        <x:f>Base_Costos!J58</x:f>
        <x:v>9800</x:v>
      </x:c>
      <x:c r="F58" s="22" t="n">
        <x:f>Base_Costos!K58</x:f>
        <x:v>9400</x:v>
      </x:c>
      <x:c r="G58" s="21" t="n">
        <x:f>Base_Costos!O58</x:f>
        <x:v>25</x:v>
      </x:c>
      <x:c r="H58" s="21" t="str">
        <x:f>Base_Costos!N58</x:f>
        <x:v>Revisar OCR</x:v>
      </x:c>
    </x:row>
    <x:row r="59">
      <x:c r="A59" s="21" t="str">
        <x:f>Base_Costos!B59</x:f>
        <x:v>Set de Herramientas Completos / Individuales</x:v>
      </x:c>
      <x:c r="B59" s="21" t="str">
        <x:f>Base_Costos!C59</x:f>
        <x:v>L1024</x:v>
      </x:c>
      <x:c r="C59" s="21" t="str">
        <x:f>Base_Costos!D59</x:f>
        <x:v>SACA FILTROS A FLEJE 85/95MM</x:v>
      </x:c>
      <x:c r="D59" s="21" t="str">
        <x:f>Base_Costos!E59</x:f>
        <x:v>Producto Lusqtoff para uso profesional, taller, hogar o mantenimiento. Consultar disponibilidad y garantía oficial.</x:v>
      </x:c>
      <x:c r="E59" s="22" t="n">
        <x:f>Base_Costos!J59</x:f>
        <x:v>11000</x:v>
      </x:c>
      <x:c r="F59" s="22" t="n">
        <x:f>Base_Costos!K59</x:f>
        <x:v>10500</x:v>
      </x:c>
      <x:c r="G59" s="21" t="n">
        <x:f>Base_Costos!O59</x:f>
        <x:v>25</x:v>
      </x:c>
      <x:c r="H59" s="21" t="str">
        <x:f>Base_Costos!N59</x:f>
        <x:v>OK</x:v>
      </x:c>
    </x:row>
    <x:row r="60">
      <x:c r="A60" s="21" t="str">
        <x:f>Base_Costos!B60</x:f>
        <x:v>Set de Herramientas Completos / Individuales</x:v>
      </x:c>
      <x:c r="B60" s="21" t="str">
        <x:f>Base_Costos!C60</x:f>
        <x:v>L3406</x:v>
      </x:c>
      <x:c r="C60" s="21" t="str">
        <x:f>Base_Costos!D60</x:f>
        <x:v>LLAVE PARA CANO 3"</x:v>
      </x:c>
      <x:c r="D60" s="21" t="str">
        <x:f>Base_Costos!E60</x:f>
        <x:v>Herramienta o conjunto para organización y trabajo de taller. Producto práctico para mecánica, mantenimiento y uso profesional.</x:v>
      </x:c>
      <x:c r="E60" s="22" t="n">
        <x:f>Base_Costos!J60</x:f>
        <x:v>73200</x:v>
      </x:c>
      <x:c r="F60" s="22" t="n">
        <x:f>Base_Costos!K60</x:f>
        <x:v>69600</x:v>
      </x:c>
      <x:c r="G60" s="21" t="n">
        <x:f>Base_Costos!O60</x:f>
        <x:v>26</x:v>
      </x:c>
      <x:c r="H60" s="21" t="str">
        <x:f>Base_Costos!N60</x:f>
        <x:v>Revisar OCR</x:v>
      </x:c>
    </x:row>
    <x:row r="61">
      <x:c r="A61" s="21" t="str">
        <x:f>Base_Costos!B61</x:f>
        <x:v>Set de Herramientas Completos / Individuales</x:v>
      </x:c>
      <x:c r="B61" s="21" t="str">
        <x:f>Base_Costos!C61</x:f>
        <x:v>L4274</x:v>
      </x:c>
      <x:c r="C61" s="21" t="str">
        <x:f>Base_Costos!D61</x:f>
        <x:v>PINZA PICO DE LORO 12” 300mm PRO</x:v>
      </x:c>
      <x:c r="D61" s="21" t="str">
        <x:f>Base_Costos!E61</x:f>
        <x:v>Herramienta o conjunto para organización y trabajo de taller. Producto práctico para mecánica, mantenimiento y uso profesional.</x:v>
      </x:c>
      <x:c r="E61" s="22" t="n">
        <x:f>Base_Costos!J61</x:f>
        <x:v>18400</x:v>
      </x:c>
      <x:c r="F61" s="22" t="n">
        <x:f>Base_Costos!K61</x:f>
        <x:v>17500</x:v>
      </x:c>
      <x:c r="G61" s="21" t="n">
        <x:f>Base_Costos!O61</x:f>
        <x:v>26</x:v>
      </x:c>
      <x:c r="H61" s="21" t="str">
        <x:f>Base_Costos!N61</x:f>
        <x:v>Revisar OCR</x:v>
      </x:c>
    </x:row>
    <x:row r="62">
      <x:c r="A62" s="21" t="str">
        <x:f>Base_Costos!B62</x:f>
        <x:v>Set de Herramientas Completos / Individuales</x:v>
      </x:c>
      <x:c r="B62" s="21" t="str">
        <x:f>Base_Costos!C62</x:f>
        <x:v>L4010</x:v>
      </x:c>
      <x:c r="C62" s="21" t="str">
        <x:f>Base_Costos!D62</x:f>
        <x:v>PINZA UNIVERSAL 8” (200mm)</x:v>
      </x:c>
      <x:c r="D62" s="21" t="str">
        <x:f>Base_Costos!E62</x:f>
        <x:v>Herramienta o conjunto para organización y trabajo de taller. Producto práctico para mecánica, mantenimiento y uso profesional.</x:v>
      </x:c>
      <x:c r="E62" s="22" t="n">
        <x:f>Base_Costos!J62</x:f>
        <x:v>11600</x:v>
      </x:c>
      <x:c r="F62" s="22" t="n">
        <x:f>Base_Costos!K62</x:f>
        <x:v>11100</x:v>
      </x:c>
      <x:c r="G62" s="21" t="n">
        <x:f>Base_Costos!O62</x:f>
        <x:v>26</x:v>
      </x:c>
      <x:c r="H62" s="21" t="str">
        <x:f>Base_Costos!N62</x:f>
        <x:v>OK</x:v>
      </x:c>
    </x:row>
    <x:row r="63">
      <x:c r="A63" s="21" t="str">
        <x:f>Base_Costos!B63</x:f>
        <x:v>Set de Herramientas Completos / Individuales</x:v>
      </x:c>
      <x:c r="B63" s="21" t="str">
        <x:f>Base_Costos!C63</x:f>
        <x:v>4024</x:v>
      </x:c>
      <x:c r="C63" s="21" t="str">
        <x:f>Base_Costos!D63</x:f>
        <x:v>ALICATE CORTE OBLICUO CUERDA DE PIANO 7” (18 Omm)</x:v>
      </x:c>
      <x:c r="D63" s="21" t="str">
        <x:f>Base_Costos!E63</x:f>
        <x:v>Producto orientado a corte, desbaste y terminación. Recomendado para metal, obra y mantenimiento general.</x:v>
      </x:c>
      <x:c r="E63" s="22" t="n">
        <x:f>Base_Costos!J63</x:f>
        <x:v>14000</x:v>
      </x:c>
      <x:c r="F63" s="22" t="n">
        <x:f>Base_Costos!K63</x:f>
        <x:v>13300</x:v>
      </x:c>
      <x:c r="G63" s="21" t="n">
        <x:f>Base_Costos!O63</x:f>
        <x:v>27</x:v>
      </x:c>
      <x:c r="H63" s="21" t="str">
        <x:f>Base_Costos!N63</x:f>
        <x:v>Revisar OCR</x:v>
      </x:c>
    </x:row>
    <x:row r="64">
      <x:c r="A64" s="21" t="str">
        <x:f>Base_Costos!B64</x:f>
        <x:v>Set de Herramientas Completos / Individuales</x:v>
      </x:c>
      <x:c r="B64" s="21" t="str">
        <x:f>Base_Costos!C64</x:f>
        <x:v>14032</x:v>
      </x:c>
      <x:c r="C64" s="21" t="str">
        <x:f>Base_Costos!D64</x:f>
        <x:v>PINZA DE PUNTA MEDIA CAÑA 8” (200mm)</x:v>
      </x:c>
      <x:c r="D64" s="21" t="str">
        <x:f>Base_Costos!E64</x:f>
        <x:v>Herramienta o conjunto para organización y trabajo de taller. Producto práctico para mecánica, mantenimiento y uso profesional.</x:v>
      </x:c>
      <x:c r="E64" s="22" t="n">
        <x:f>Base_Costos!J64</x:f>
        <x:v>9800</x:v>
      </x:c>
      <x:c r="F64" s="22" t="n">
        <x:f>Base_Costos!K64</x:f>
        <x:v>9400</x:v>
      </x:c>
      <x:c r="G64" s="21" t="n">
        <x:f>Base_Costos!O64</x:f>
        <x:v>27</x:v>
      </x:c>
      <x:c r="H64" s="21" t="str">
        <x:f>Base_Costos!N64</x:f>
        <x:v>Revisar OCR</x:v>
      </x:c>
    </x:row>
    <x:row r="65">
      <x:c r="A65" s="21" t="str">
        <x:f>Base_Costos!B65</x:f>
        <x:v>Set de Herramientas Completos / Individuales</x:v>
      </x:c>
      <x:c r="B65" s="21" t="str">
        <x:f>Base_Costos!C65</x:f>
        <x:v>14070</x:v>
      </x:c>
      <x:c r="C65" s="21" t="str">
        <x:f>Base_Costos!D65</x:f>
        <x:v>PINZA SACABOCADO 9” (230mm)</x:v>
      </x:c>
      <x:c r="D65" s="21" t="str">
        <x:f>Base_Costos!E65</x:f>
        <x:v>Herramienta o conjunto para organización y trabajo de taller. Producto práctico para mecánica, mantenimiento y uso profesional.</x:v>
      </x:c>
      <x:c r="E65" s="22" t="n">
        <x:f>Base_Costos!J65</x:f>
        <x:v>24600</x:v>
      </x:c>
      <x:c r="F65" s="22" t="n">
        <x:f>Base_Costos!K65</x:f>
        <x:v>23400</x:v>
      </x:c>
      <x:c r="G65" s="21" t="n">
        <x:f>Base_Costos!O65</x:f>
        <x:v>27</x:v>
      </x:c>
      <x:c r="H65" s="21" t="str">
        <x:f>Base_Costos!N65</x:f>
        <x:v>Revisar OCR</x:v>
      </x:c>
    </x:row>
    <x:row r="66">
      <x:c r="A66" s="21" t="str">
        <x:f>Base_Costos!B66</x:f>
        <x:v>Set de Herramientas Completos / Individuales</x:v>
      </x:c>
      <x:c r="B66" s="21" t="str">
        <x:f>Base_Costos!C66</x:f>
        <x:v>L4100</x:v>
      </x:c>
      <x:c r="C66" s="21" t="str">
        <x:f>Base_Costos!D66</x:f>
        <x:v>JUEGO DE 3 PINZAS</x:v>
      </x:c>
      <x:c r="D66" s="21" t="str">
        <x:f>Base_Costos!E66</x:f>
        <x:v>Herramienta o conjunto para organización y trabajo de taller. Producto práctico para mecánica, mantenimiento y uso profesional.</x:v>
      </x:c>
      <x:c r="E66" s="22" t="n">
        <x:f>Base_Costos!J66</x:f>
        <x:v>26300</x:v>
      </x:c>
      <x:c r="F66" s="22" t="n">
        <x:f>Base_Costos!K66</x:f>
        <x:v>25000</x:v>
      </x:c>
      <x:c r="G66" s="21" t="n">
        <x:f>Base_Costos!O66</x:f>
        <x:v>28</x:v>
      </x:c>
      <x:c r="H66" s="21" t="str">
        <x:f>Base_Costos!N66</x:f>
        <x:v>OK</x:v>
      </x:c>
    </x:row>
    <x:row r="67">
      <x:c r="A67" s="21" t="str">
        <x:f>Base_Costos!B67</x:f>
        <x:v>Set de Herramientas Completos / Individuales</x:v>
      </x:c>
      <x:c r="B67" s="21" t="str">
        <x:f>Base_Costos!C67</x:f>
        <x:v>14244</x:v>
      </x:c>
      <x:c r="C67" s="21" t="str">
        <x:f>Base_Costos!D67</x:f>
        <x:v>PINZA UNIVERSAL 8” 200mm AISLACION 1000v</x:v>
      </x:c>
      <x:c r="D67" s="21" t="str">
        <x:f>Base_Costos!E67</x:f>
        <x:v>Herramienta o conjunto para organización y trabajo de taller. Producto práctico para mecánica, mantenimiento y uso profesional.</x:v>
      </x:c>
      <x:c r="E67" s="22" t="n">
        <x:f>Base_Costos!J67</x:f>
        <x:v>23000</x:v>
      </x:c>
      <x:c r="F67" s="22" t="n">
        <x:f>Base_Costos!K67</x:f>
        <x:v>21900</x:v>
      </x:c>
      <x:c r="G67" s="21" t="n">
        <x:f>Base_Costos!O67</x:f>
        <x:v>28</x:v>
      </x:c>
      <x:c r="H67" s="21" t="str">
        <x:f>Base_Costos!N67</x:f>
        <x:v>Revisar OCR</x:v>
      </x:c>
    </x:row>
    <x:row r="68">
      <x:c r="A68" s="21" t="str">
        <x:f>Base_Costos!B68</x:f>
        <x:v>Set de Herramientas Completos / Individuales</x:v>
      </x:c>
      <x:c r="B68" s="21" t="str">
        <x:f>Base_Costos!C68</x:f>
        <x:v>L4078</x:v>
      </x:c>
      <x:c r="C68" s="21" t="str">
        <x:f>Base_Costos!D68</x:f>
        <x:v>TENAZA CARPINTERO 8” 180mm</x:v>
      </x:c>
      <x:c r="D68" s="21" t="str">
        <x:f>Base_Costos!E68</x:f>
        <x:v>Herramienta para carpintería, corte, lijado y terminación en madera. Recomendada para trabajos precisos y terminación prolija.</x:v>
      </x:c>
      <x:c r="E68" s="22" t="n">
        <x:f>Base_Costos!J68</x:f>
        <x:v>10300</x:v>
      </x:c>
      <x:c r="F68" s="22" t="n">
        <x:f>Base_Costos!K68</x:f>
        <x:v>9800</x:v>
      </x:c>
      <x:c r="G68" s="21" t="n">
        <x:f>Base_Costos!O68</x:f>
        <x:v>28</x:v>
      </x:c>
      <x:c r="H68" s="21" t="str">
        <x:f>Base_Costos!N68</x:f>
        <x:v>Revisar OCR</x:v>
      </x:c>
    </x:row>
    <x:row r="69">
      <x:c r="A69" s="21" t="str">
        <x:f>Base_Costos!B69</x:f>
        <x:v>Set de Herramientas Completos / Individuales</x:v>
      </x:c>
      <x:c r="B69" s="21" t="str">
        <x:f>Base_Costos!C69</x:f>
        <x:v>14260</x:v>
      </x:c>
      <x:c r="C69" s="21" t="str">
        <x:f>Base_Costos!D69</x:f>
        <x:v>ALICATE CORTE OBLICUO 6” 150mm AISLACION 1000V</x:v>
      </x:c>
      <x:c r="D69" s="21" t="str">
        <x:f>Base_Costos!E69</x:f>
        <x:v>Producto orientado a corte, desbaste y terminación. Recomendado para metal, obra y mantenimiento general.</x:v>
      </x:c>
      <x:c r="E69" s="22" t="n">
        <x:f>Base_Costos!J69</x:f>
        <x:v>21000</x:v>
      </x:c>
      <x:c r="F69" s="22" t="n">
        <x:f>Base_Costos!K69</x:f>
        <x:v>20000</x:v>
      </x:c>
      <x:c r="G69" s="21" t="n">
        <x:f>Base_Costos!O69</x:f>
        <x:v>29</x:v>
      </x:c>
      <x:c r="H69" s="21" t="str">
        <x:f>Base_Costos!N69</x:f>
        <x:v>Revisar OCR</x:v>
      </x:c>
    </x:row>
    <x:row r="70">
      <x:c r="A70" s="21" t="str">
        <x:f>Base_Costos!B70</x:f>
        <x:v>Set de Herramientas Completos / Individuales</x:v>
      </x:c>
      <x:c r="B70" s="21" t="str">
        <x:f>Base_Costos!C70</x:f>
        <x:v>14248</x:v>
      </x:c>
      <x:c r="C70" s="21" t="str">
        <x:f>Base_Costos!D70</x:f>
        <x:v>PINZA DE PUNTA MEDIA CAÑA 6” 150mm AISLACION 1000v</x:v>
      </x:c>
      <x:c r="D70" s="21" t="str">
        <x:f>Base_Costos!E70</x:f>
        <x:v>Herramienta o conjunto para organización y trabajo de taller. Producto práctico para mecánica, mantenimiento y uso profesional.</x:v>
      </x:c>
      <x:c r="E70" s="22" t="n">
        <x:f>Base_Costos!J70</x:f>
        <x:v>17800</x:v>
      </x:c>
      <x:c r="F70" s="22" t="n">
        <x:f>Base_Costos!K70</x:f>
        <x:v>17000</x:v>
      </x:c>
      <x:c r="G70" s="21" t="n">
        <x:f>Base_Costos!O70</x:f>
        <x:v>29</x:v>
      </x:c>
      <x:c r="H70" s="21" t="str">
        <x:f>Base_Costos!N70</x:f>
        <x:v>Revisar OCR</x:v>
      </x:c>
    </x:row>
    <x:row r="71">
      <x:c r="A71" s="21" t="str">
        <x:f>Base_Costos!B71</x:f>
        <x:v>Set de Herramientas Completos / Individuales</x:v>
      </x:c>
      <x:c r="B71" s="21" t="str">
        <x:f>Base_Costos!C71</x:f>
        <x:v>14254</x:v>
      </x:c>
      <x:c r="C71" s="21" t="str">
        <x:f>Base_Costos!D71</x:f>
        <x:v>PINZA DE PUNTA PLANA 6” 150mm AISLACION 1000V</x:v>
      </x:c>
      <x:c r="D71" s="21" t="str">
        <x:f>Base_Costos!E71</x:f>
        <x:v>Herramienta o conjunto para organización y trabajo de taller. Producto práctico para mecánica, mantenimiento y uso profesional.</x:v>
      </x:c>
      <x:c r="E71" s="22" t="n">
        <x:f>Base_Costos!J71</x:f>
        <x:v>20400</x:v>
      </x:c>
      <x:c r="F71" s="22" t="n">
        <x:f>Base_Costos!K71</x:f>
        <x:v>19400</x:v>
      </x:c>
      <x:c r="G71" s="21" t="n">
        <x:f>Base_Costos!O71</x:f>
        <x:v>29</x:v>
      </x:c>
      <x:c r="H71" s="21" t="str">
        <x:f>Base_Costos!N71</x:f>
        <x:v>Revisar OCR</x:v>
      </x:c>
    </x:row>
    <x:row r="72">
      <x:c r="A72" s="21" t="str">
        <x:f>Base_Costos!B72</x:f>
        <x:v>Set de Herramientas Completos / Individuales</x:v>
      </x:c>
      <x:c r="B72" s="21" t="str">
        <x:f>Base_Costos!C72</x:f>
        <x:v>L4265</x:v>
      </x:c>
      <x:c r="C72" s="21" t="str">
        <x:f>Base_Costos!D72</x:f>
        <x:v>JUEGO 3 PINZAS AISLADAS 1000V LUSQTOFF</x:v>
      </x:c>
      <x:c r="D72" s="21" t="str">
        <x:f>Base_Costos!E72</x:f>
        <x:v>Herramienta o conjunto para organización y trabajo de taller. Producto práctico para mecánica, mantenimiento y uso profesional.</x:v>
      </x:c>
      <x:c r="E72" s="22" t="n">
        <x:f>Base_Costos!J72</x:f>
        <x:v>59500</x:v>
      </x:c>
      <x:c r="F72" s="22" t="n">
        <x:f>Base_Costos!K72</x:f>
        <x:v>56600</x:v>
      </x:c>
      <x:c r="G72" s="21" t="n">
        <x:f>Base_Costos!O72</x:f>
        <x:v>30</x:v>
      </x:c>
      <x:c r="H72" s="21" t="str">
        <x:f>Base_Costos!N72</x:f>
        <x:v>OK</x:v>
      </x:c>
    </x:row>
    <x:row r="73">
      <x:c r="A73" s="21" t="str">
        <x:f>Base_Costos!B73</x:f>
        <x:v>Set de Herramientas Completos / Individuales</x:v>
      </x:c>
      <x:c r="B73" s="21" t="str">
        <x:f>Base_Costos!C73</x:f>
        <x:v>L4400</x:v>
      </x:c>
      <x:c r="C73" s="21" t="str">
        <x:f>Base_Costos!D73</x:f>
        <x:v>PINZA DE AVIACION CORTE RECTO 10” 250mm PRO</x:v>
      </x:c>
      <x:c r="D73" s="21" t="str">
        <x:f>Base_Costos!E73</x:f>
        <x:v>Producto orientado a corte, desbaste y terminación. Recomendado para metal, obra y mantenimiento general.</x:v>
      </x:c>
      <x:c r="E73" s="22" t="n">
        <x:f>Base_Costos!J73</x:f>
        <x:v>14500</x:v>
      </x:c>
      <x:c r="F73" s="22" t="n">
        <x:f>Base_Costos!K73</x:f>
        <x:v>13800</x:v>
      </x:c>
      <x:c r="G73" s="21" t="n">
        <x:f>Base_Costos!O73</x:f>
        <x:v>30</x:v>
      </x:c>
      <x:c r="H73" s="21" t="str">
        <x:f>Base_Costos!N73</x:f>
        <x:v>Revisar OCR</x:v>
      </x:c>
    </x:row>
    <x:row r="74">
      <x:c r="A74" s="21" t="str">
        <x:f>Base_Costos!B74</x:f>
        <x:v>Set de Herramientas Completos / Individuales</x:v>
      </x:c>
      <x:c r="B74" s="21" t="str">
        <x:f>Base_Costos!C74</x:f>
        <x:v>L4310</x:v>
      </x:c>
      <x:c r="C74" s="21" t="str">
        <x:f>Base_Costos!D74</x:f>
        <x:v>PINZA DE PRESION CON PLATAFORMA 8” 200mm PRO</x:v>
      </x:c>
      <x:c r="D74" s="21" t="str">
        <x:f>Base_Costos!E74</x:f>
        <x:v>Herramienta o conjunto para organización y trabajo de taller. Producto práctico para mecánica, mantenimiento y uso profesional.</x:v>
      </x:c>
      <x:c r="E74" s="22" t="n">
        <x:f>Base_Costos!J74</x:f>
        <x:v>14700</x:v>
      </x:c>
      <x:c r="F74" s="22" t="n">
        <x:f>Base_Costos!K74</x:f>
        <x:v>14000</x:v>
      </x:c>
      <x:c r="G74" s="21" t="n">
        <x:f>Base_Costos!O74</x:f>
        <x:v>30</x:v>
      </x:c>
      <x:c r="H74" s="21" t="str">
        <x:f>Base_Costos!N74</x:f>
        <x:v>Revisar OCR</x:v>
      </x:c>
    </x:row>
    <x:row r="75">
      <x:c r="A75" s="21" t="str">
        <x:f>Base_Costos!B75</x:f>
        <x:v>Set de Herramientas Completos / Individuales</x:v>
      </x:c>
      <x:c r="B75" s="21" t="str">
        <x:f>Base_Costos!C75</x:f>
        <x:v>17504</x:v>
      </x:c>
      <x:c r="C75" s="21" t="str">
        <x:f>Base_Costos!D75</x:f>
        <x:v>MARTILLO CARPINTERO 25MM (250 grs)</x:v>
      </x:c>
      <x:c r="D75" s="21" t="str">
        <x:f>Base_Costos!E75</x:f>
        <x:v>Herramienta para carpintería, corte, lijado y terminación en madera. Recomendada para trabajos precisos y terminación prolija.</x:v>
      </x:c>
      <x:c r="E75" s="22" t="n">
        <x:f>Base_Costos!J75</x:f>
        <x:v>11600</x:v>
      </x:c>
      <x:c r="F75" s="22" t="n">
        <x:f>Base_Costos!K75</x:f>
        <x:v>11100</x:v>
      </x:c>
      <x:c r="G75" s="21" t="n">
        <x:f>Base_Costos!O75</x:f>
        <x:v>31</x:v>
      </x:c>
      <x:c r="H75" s="21" t="str">
        <x:f>Base_Costos!N75</x:f>
        <x:v>Revisar OCR</x:v>
      </x:c>
    </x:row>
    <x:row r="76">
      <x:c r="A76" s="21" t="str">
        <x:f>Base_Costos!B76</x:f>
        <x:v>Set de Herramientas Completos / Individuales</x:v>
      </x:c>
      <x:c r="B76" s="21" t="str">
        <x:f>Base_Costos!C76</x:f>
        <x:v>117512</x:v>
      </x:c>
      <x:c r="C76" s="21" t="str">
        <x:f>Base_Costos!D76</x:f>
        <x:v>MARTILLO GALPONERO MANGO DE Fibra</x:v>
      </x:c>
      <x:c r="D76" s="21" t="str">
        <x:f>Base_Costos!E76</x:f>
        <x:v>Herramienta o conjunto para organización y trabajo de taller. Producto práctico para mecánica, mantenimiento y uso profesional.</x:v>
      </x:c>
      <x:c r="E76" s="22" t="n">
        <x:f>Base_Costos!J76</x:f>
        <x:v>15100</x:v>
      </x:c>
      <x:c r="F76" s="22" t="n">
        <x:f>Base_Costos!K76</x:f>
        <x:v>14400</x:v>
      </x:c>
      <x:c r="G76" s="21" t="n">
        <x:f>Base_Costos!O76</x:f>
        <x:v>31</x:v>
      </x:c>
      <x:c r="H76" s="21" t="str">
        <x:f>Base_Costos!N76</x:f>
        <x:v>Revisar OCR</x:v>
      </x:c>
    </x:row>
    <x:row r="77">
      <x:c r="A77" s="21" t="str">
        <x:f>Base_Costos!B77</x:f>
        <x:v>Set de Herramientas Completos / Individuales</x:v>
      </x:c>
      <x:c r="B77" s="21" t="str">
        <x:f>Base_Costos!C77</x:f>
        <x:v>17646</x:v>
      </x:c>
      <x:c r="C77" s="21" t="str">
        <x:f>Base_Costos!D77</x:f>
        <x:v>PRENSA DE LIBERACION RAPIDA 36"</x:v>
      </x:c>
      <x:c r="D77" s="21" t="str">
        <x:f>Base_Costos!E77</x:f>
        <x:v>Producto Lusqtoff para uso profesional, taller, hogar o mantenimiento. Consultar disponibilidad y garantía oficial.</x:v>
      </x:c>
      <x:c r="E77" s="22" t="n">
        <x:f>Base_Costos!J77</x:f>
        <x:v>19600</x:v>
      </x:c>
      <x:c r="F77" s="22" t="n">
        <x:f>Base_Costos!K77</x:f>
        <x:v>18700</x:v>
      </x:c>
      <x:c r="G77" s="21" t="n">
        <x:f>Base_Costos!O77</x:f>
        <x:v>31</x:v>
      </x:c>
      <x:c r="H77" s="21" t="str">
        <x:f>Base_Costos!N77</x:f>
        <x:v>OK</x:v>
      </x:c>
    </x:row>
    <x:row r="78">
      <x:c r="A78" s="21" t="str">
        <x:f>Base_Costos!B78</x:f>
        <x:v>Soldadoras / Accesorios</x:v>
      </x:c>
      <x:c r="B78" s="21" t="str">
        <x:f>Base_Costos!C78</x:f>
        <x:v>ST-1N</x:v>
      </x:c>
      <x:c r="C78" s="21" t="str">
        <x:f>Base_Costos!D78</x:f>
        <x:v>MÁSCARA FOTOSENSIBLE</x:v>
      </x:c>
      <x:c r="D78" s="21" t="str">
        <x:f>Base_Costos!E78</x:f>
        <x:v>Producto Lusqtoff para uso profesional, taller, hogar o mantenimiento. Consultar disponibilidad y garantía oficial.</x:v>
      </x:c>
      <x:c r="E78" s="22" t="n">
        <x:f>Base_Costos!J78</x:f>
        <x:v>39300</x:v>
      </x:c>
      <x:c r="F78" s="22" t="n">
        <x:f>Base_Costos!K78</x:f>
        <x:v>37400</x:v>
      </x:c>
      <x:c r="G78" s="21" t="n">
        <x:f>Base_Costos!O78</x:f>
        <x:v>32</x:v>
      </x:c>
      <x:c r="H78" s="21" t="str">
        <x:f>Base_Costos!N78</x:f>
        <x:v>OK</x:v>
      </x:c>
    </x:row>
    <x:row r="79">
      <x:c r="A79" s="21" t="str">
        <x:f>Base_Costos!B79</x:f>
        <x:v>Soldadoras / Accesorios</x:v>
      </x:c>
      <x:c r="B79" s="21" t="str">
        <x:f>Base_Costos!C79</x:f>
        <x:v>MEGAIRONI40</x:v>
      </x:c>
      <x:c r="C79" s="21" t="str">
        <x:f>Base_Costos!D79</x:f>
        <x:v>KIT SOLDADOR IRON-140 + MASC ST-1X +2 ESCUADRAS</x:v>
      </x:c>
      <x:c r="D79" s="21" t="str">
        <x:f>Base_Costos!E79</x:f>
        <x:v>Solución para trabajos de soldadura y reparación. Apto para taller, herrería y uso profesional según aplicación.</x:v>
      </x:c>
      <x:c r="E79" s="22" t="n">
        <x:f>Base_Costos!J79</x:f>
        <x:v>241400</x:v>
      </x:c>
      <x:c r="F79" s="22" t="n">
        <x:f>Base_Costos!K79</x:f>
        <x:v>229400</x:v>
      </x:c>
      <x:c r="G79" s="21" t="n">
        <x:f>Base_Costos!O79</x:f>
        <x:v>33</x:v>
      </x:c>
      <x:c r="H79" s="21" t="str">
        <x:f>Base_Costos!N79</x:f>
        <x:v>OK</x:v>
      </x:c>
    </x:row>
    <x:row r="80">
      <x:c r="A80" s="21" t="str">
        <x:f>Base_Costos!B80</x:f>
        <x:v>Soldadoras / Accesorios</x:v>
      </x:c>
      <x:c r="B80" s="21" t="str">
        <x:f>Base_Costos!C80</x:f>
        <x:v>SML120-8DK</x:v>
      </x:c>
      <x:c r="C80" s="21" t="str">
        <x:f>Base_Costos!D80</x:f>
        <x:v>SOLDADORA INVERTER DUAL</x:v>
      </x:c>
      <x:c r="D80" s="21" t="str">
        <x:f>Base_Costos!E80</x:f>
        <x:v>Solución para trabajos de soldadura y reparación. Apto para taller, herrería y uso profesional según aplicación.</x:v>
      </x:c>
      <x:c r="E80" s="22" t="n">
        <x:f>Base_Costos!J80</x:f>
        <x:v>420300</x:v>
      </x:c>
      <x:c r="F80" s="22" t="n">
        <x:f>Base_Costos!K80</x:f>
        <x:v>399300</x:v>
      </x:c>
      <x:c r="G80" s="21" t="n">
        <x:f>Base_Costos!O80</x:f>
        <x:v>33</x:v>
      </x:c>
      <x:c r="H80" s="21" t="str">
        <x:f>Base_Costos!N80</x:f>
        <x:v>OK</x:v>
      </x:c>
    </x:row>
    <x:row r="81">
      <x:c r="A81" s="21" t="str">
        <x:f>Base_Costos!B81</x:f>
        <x:v>Soldadoras / Accesorios</x:v>
      </x:c>
      <x:c r="B81" s="21" t="str">
        <x:f>Base_Costos!C81</x:f>
        <x:v>INCUT-40</x:v>
      </x:c>
      <x:c r="C81" s="21" t="str">
        <x:f>Base_Costos!D81</x:f>
        <x:v>CORTADORA DE PLASMA PROFESIONAL</x:v>
      </x:c>
      <x:c r="D81" s="21" t="str">
        <x:f>Base_Costos!E81</x:f>
        <x:v>Producto orientado a corte, desbaste y terminación. Recomendado para metal, obra y mantenimiento general.</x:v>
      </x:c>
      <x:c r="E81" s="22" t="n">
        <x:f>Base_Costos!J81</x:f>
        <x:v>147400</x:v>
      </x:c>
      <x:c r="F81" s="22" t="n">
        <x:f>Base_Costos!K81</x:f>
        <x:v>140100</x:v>
      </x:c>
      <x:c r="G81" s="21" t="n">
        <x:f>Base_Costos!O81</x:f>
        <x:v>34</x:v>
      </x:c>
      <x:c r="H81" s="21" t="str">
        <x:f>Base_Costos!N81</x:f>
        <x:v>Revisar OCR</x:v>
      </x:c>
    </x:row>
    <x:row r="82">
      <x:c r="A82" s="21" t="str">
        <x:f>Base_Costos!B82</x:f>
        <x:v>Soldadoras / Accesorios</x:v>
      </x:c>
      <x:c r="B82" s="21" t="str">
        <x:f>Base_Costos!C82</x:f>
        <x:v>IRON-140</x:v>
      </x:c>
      <x:c r="C82" s="21" t="str">
        <x:f>Base_Costos!D82</x:f>
        <x:v>SOLDADORA INVERTER 120a</x:v>
      </x:c>
      <x:c r="D82" s="21" t="str">
        <x:f>Base_Costos!E82</x:f>
        <x:v>Solución para trabajos de soldadura y reparación. Apto para taller, herrería y uso profesional según aplicación.</x:v>
      </x:c>
      <x:c r="E82" s="22" t="n">
        <x:f>Base_Costos!J82</x:f>
        <x:v>220500</x:v>
      </x:c>
      <x:c r="F82" s="22" t="n">
        <x:f>Base_Costos!K82</x:f>
        <x:v>209500</x:v>
      </x:c>
      <x:c r="G82" s="21" t="n">
        <x:f>Base_Costos!O82</x:f>
        <x:v>34</x:v>
      </x:c>
      <x:c r="H82" s="21" t="str">
        <x:f>Base_Costos!N82</x:f>
        <x:v>OK</x:v>
      </x:c>
    </x:row>
    <x:row r="83">
      <x:c r="A83" s="21" t="str">
        <x:f>Base_Costos!B83</x:f>
        <x:v>Compresores y Neumática</x:v>
      </x:c>
      <x:c r="B83" s="21" t="str">
        <x:f>Base_Costos!C83</x:f>
        <x:v>LC2025-8K</x:v>
      </x:c>
      <x:c r="C83" s="21" t="str">
        <x:f>Base_Costos!D83</x:f>
        <x:v>COMPRESOR 25 LITROS EN KIT</x:v>
      </x:c>
      <x:c r="D83" s="21" t="str">
        <x:f>Base_Costos!E83</x:f>
        <x:v>Equipo y accesorios para aire comprimido. Ideal para inflado, pintura, limpieza, herramientas neumáticas y uso de taller.</x:v>
      </x:c>
      <x:c r="E83" s="22" t="n">
        <x:f>Base_Costos!J83</x:f>
        <x:v>265000</x:v>
      </x:c>
      <x:c r="F83" s="22" t="n">
        <x:f>Base_Costos!K83</x:f>
        <x:v>251800</x:v>
      </x:c>
      <x:c r="G83" s="21" t="n">
        <x:f>Base_Costos!O83</x:f>
        <x:v>35</x:v>
      </x:c>
      <x:c r="H83" s="21" t="str">
        <x:f>Base_Costos!N83</x:f>
        <x:v>OK</x:v>
      </x:c>
    </x:row>
    <x:row r="84">
      <x:c r="A84" s="21" t="str">
        <x:f>Base_Costos!B84</x:f>
        <x:v>Compresores y Neumática</x:v>
      </x:c>
      <x:c r="B84" s="21" t="str">
        <x:f>Base_Costos!C84</x:f>
        <x:v>GC9040-50</x:v>
      </x:c>
      <x:c r="C84" s="21" t="str">
        <x:f>Base_Costos!D84</x:f>
        <x:v>CLAVADORA ENGRAMPADORA 2 EN 1</x:v>
      </x:c>
      <x:c r="D84" s="21" t="str">
        <x:f>Base_Costos!E84</x:f>
        <x:v>Producto Lusqtoff para uso profesional, taller, hogar o mantenimiento. Consultar disponibilidad y garantía oficial.</x:v>
      </x:c>
      <x:c r="E84" s="22" t="n">
        <x:f>Base_Costos!J84</x:f>
        <x:v>60000</x:v>
      </x:c>
      <x:c r="F84" s="22" t="n">
        <x:f>Base_Costos!K84</x:f>
        <x:v>57000</x:v>
      </x:c>
      <x:c r="G84" s="21" t="n">
        <x:f>Base_Costos!O84</x:f>
        <x:v>36</x:v>
      </x:c>
      <x:c r="H84" s="21" t="str">
        <x:f>Base_Costos!N84</x:f>
        <x:v>OK</x:v>
      </x:c>
    </x:row>
    <x:row r="85">
      <x:c r="A85" s="21" t="str">
        <x:f>Base_Costos!B85</x:f>
        <x:v>Compresores y Neumática</x:v>
      </x:c>
      <x:c r="B85" s="21" t="str">
        <x:f>Base_Costos!C85</x:f>
        <x:v>GP-2550B</x:v>
      </x:c>
      <x:c r="C85" s="21" t="str">
        <x:f>Base_Costos!D85</x:f>
        <x:v>Compresor 50LTS Garden Plus</x:v>
      </x:c>
      <x:c r="D85" s="21" t="str">
        <x:f>Base_Costos!E85</x:f>
        <x:v>Equipo y accesorios para aire comprimido. Ideal para inflado, pintura, limpieza, herramientas neumáticas y uso de taller.</x:v>
      </x:c>
      <x:c r="E85" s="22" t="n">
        <x:f>Base_Costos!J85</x:f>
        <x:v>241400</x:v>
      </x:c>
      <x:c r="F85" s="22" t="n">
        <x:f>Base_Costos!K85</x:f>
        <x:v>229400</x:v>
      </x:c>
      <x:c r="G85" s="21" t="n">
        <x:f>Base_Costos!O85</x:f>
        <x:v>36</x:v>
      </x:c>
      <x:c r="H85" s="21" t="str">
        <x:f>Base_Costos!N85</x:f>
        <x:v>OK</x:v>
      </x:c>
    </x:row>
    <x:row r="86">
      <x:c r="A86" s="21" t="str">
        <x:f>Base_Costos!B86</x:f>
        <x:v>Compresores y Neumática</x:v>
      </x:c>
      <x:c r="B86" s="21" t="str">
        <x:f>Base_Costos!C86</x:f>
      </x:c>
      <x:c r="C86" s="21" t="str">
        <x:f>Base_Costos!D86</x:f>
        <x:v>Compresor de aire 100 litros eléctrico Lusqtoff LC-40100 mo nofásico naranja 220V SOHz</x:v>
      </x:c>
      <x:c r="D86" s="21" t="str">
        <x:f>Base_Costos!E86</x:f>
        <x:v>Equipo y accesorios para aire comprimido. Ideal para inflado, pintura, limpieza, herramientas neumáticas y uso de taller.</x:v>
      </x:c>
      <x:c r="E86" s="22" t="n">
        <x:f>Base_Costos!J86</x:f>
        <x:v>691200</x:v>
      </x:c>
      <x:c r="F86" s="22" t="n">
        <x:f>Base_Costos!K86</x:f>
        <x:v>656700</x:v>
      </x:c>
      <x:c r="G86" s="21" t="n">
        <x:f>Base_Costos!O86</x:f>
        <x:v>36</x:v>
      </x:c>
      <x:c r="H86" s="21" t="str">
        <x:f>Base_Costos!N86</x:f>
        <x:v>Revisar OCR</x:v>
      </x:c>
    </x:row>
    <x:row r="87">
      <x:c r="A87" s="21" t="str">
        <x:f>Base_Costos!B87</x:f>
        <x:v>Compresores y Neumática</x:v>
      </x:c>
      <x:c r="B87" s="21" t="str">
        <x:f>Base_Costos!C87</x:f>
        <x:v>ANLI20-8A</x:v>
      </x:c>
      <x:c r="C87" s="21" t="str">
        <x:f>Base_Costos!D87</x:f>
        <x:v>ARENADORA NEUMATICA 120PSI</x:v>
      </x:c>
      <x:c r="D87" s="21" t="str">
        <x:f>Base_Costos!E87</x:f>
        <x:v>Equipo y accesorios para aire comprimido. Ideal para inflado, pintura, limpieza, herramientas neumáticas y uso de taller.</x:v>
      </x:c>
      <x:c r="E87" s="22" t="n">
        <x:f>Base_Costos!J87</x:f>
        <x:v>32300</x:v>
      </x:c>
      <x:c r="F87" s="22" t="n">
        <x:f>Base_Costos!K87</x:f>
        <x:v>30700</x:v>
      </x:c>
      <x:c r="G87" s="21" t="n">
        <x:f>Base_Costos!O87</x:f>
        <x:v>37</x:v>
      </x:c>
      <x:c r="H87" s="21" t="str">
        <x:f>Base_Costos!N87</x:f>
        <x:v>Revisar OCR</x:v>
      </x:c>
    </x:row>
    <x:row r="88">
      <x:c r="A88" s="21" t="str">
        <x:f>Base_Costos!B88</x:f>
        <x:v>Compresores y Neumática</x:v>
      </x:c>
      <x:c r="B88" s="21" t="str">
        <x:f>Base_Costos!C88</x:f>
        <x:v>AA-5000K</x:v>
      </x:c>
      <x:c r="C88" s="21" t="str">
        <x:f>Base_Costos!D88</x:f>
        <x:v>Kit Compresor Sopletear Inflar Lavar Pintar 5 Pzas</x:v>
      </x:c>
      <x:c r="D88" s="21" t="str">
        <x:f>Base_Costos!E88</x:f>
        <x:v>Equipo y accesorios para aire comprimido. Ideal para inflado, pintura, limpieza, herramientas neumáticas y uso de taller.</x:v>
      </x:c>
      <x:c r="E88" s="22" t="n">
        <x:f>Base_Costos!J88</x:f>
        <x:v>49000</x:v>
      </x:c>
      <x:c r="F88" s="22" t="n">
        <x:f>Base_Costos!K88</x:f>
        <x:v>46600</x:v>
      </x:c>
      <x:c r="G88" s="21" t="n">
        <x:f>Base_Costos!O88</x:f>
        <x:v>37</x:v>
      </x:c>
      <x:c r="H88" s="21" t="str">
        <x:f>Base_Costos!N88</x:f>
        <x:v>OK</x:v>
      </x:c>
    </x:row>
    <x:row r="89">
      <x:c r="A89" s="21" t="str">
        <x:f>Base_Costos!B89</x:f>
        <x:v>Compresores y Neumática</x:v>
      </x:c>
      <x:c r="B89" s="21" t="str">
        <x:f>Base_Costos!C89</x:f>
        <x:v>AS-1050</x:v>
      </x:c>
      <x:c r="C89" s="21" t="str">
        <x:f>Base_Costos!D89</x:f>
        <x:v>Pistola de pintar alta presion</x:v>
      </x:c>
      <x:c r="D89" s="21" t="str">
        <x:f>Base_Costos!E89</x:f>
        <x:v>Equipo y accesorios para aire comprimido. Ideal para inflado, pintura, limpieza, herramientas neumáticas y uso de taller.</x:v>
      </x:c>
      <x:c r="E89" s="22" t="n">
        <x:f>Base_Costos!J89</x:f>
        <x:v>38300</x:v>
      </x:c>
      <x:c r="F89" s="22" t="n">
        <x:f>Base_Costos!K89</x:f>
        <x:v>36400</x:v>
      </x:c>
      <x:c r="G89" s="21" t="n">
        <x:f>Base_Costos!O89</x:f>
        <x:v>37</x:v>
      </x:c>
      <x:c r="H89" s="21" t="str">
        <x:f>Base_Costos!N89</x:f>
        <x:v>Revisar OCR</x:v>
      </x:c>
    </x:row>
    <x:row r="90">
      <x:c r="A90" s="21" t="str">
        <x:f>Base_Costos!B90</x:f>
        <x:v>Compresores y Neumática</x:v>
      </x:c>
      <x:c r="B90" s="21" t="str">
        <x:f>Base_Costos!C90</x:f>
        <x:v>KACL20-9</x:v>
      </x:c>
      <x:c r="C90" s="21" t="str">
        <x:f>Base_Costos!D90</x:f>
        <x:v>KIT ACCESORIO PARA COMPRESOR</x:v>
      </x:c>
      <x:c r="D90" s="21" t="str">
        <x:f>Base_Costos!E90</x:f>
        <x:v>Equipo y accesorios para aire comprimido. Ideal para inflado, pintura, limpieza, herramientas neumáticas y uso de taller.</x:v>
      </x:c>
      <x:c r="E90" s="22" t="n">
        <x:f>Base_Costos!J90</x:f>
        <x:v>40200</x:v>
      </x:c>
      <x:c r="F90" s="22" t="n">
        <x:f>Base_Costos!K90</x:f>
        <x:v>38200</x:v>
      </x:c>
      <x:c r="G90" s="21" t="n">
        <x:f>Base_Costos!O90</x:f>
        <x:v>38</x:v>
      </x:c>
      <x:c r="H90" s="21" t="str">
        <x:f>Base_Costos!N90</x:f>
        <x:v>OK</x:v>
      </x:c>
    </x:row>
    <x:row r="91">
      <x:c r="A91" s="21" t="str">
        <x:f>Base_Costos!B91</x:f>
        <x:v>Carpintería y Madera</x:v>
      </x:c>
      <x:c r="B91" s="21" t="str">
        <x:f>Base_Costos!C91</x:f>
        <x:v>CSL1500-8</x:v>
      </x:c>
      <x:c r="C91" s="21" t="str">
        <x:f>Base_Costos!D91</x:f>
        <x:v>SIERRA CIRCULAR 1500W</x:v>
      </x:c>
      <x:c r="D91" s="21" t="str">
        <x:f>Base_Costos!E91</x:f>
        <x:v>Herramienta para carpintería, corte, lijado y terminación en madera. Recomendada para trabajos precisos y terminación prolija.</x:v>
      </x:c>
      <x:c r="E91" s="22" t="n">
        <x:f>Base_Costos!J91</x:f>
        <x:v>153000</x:v>
      </x:c>
      <x:c r="F91" s="22" t="n">
        <x:f>Base_Costos!K91</x:f>
        <x:v>145400</x:v>
      </x:c>
      <x:c r="G91" s="21" t="n">
        <x:f>Base_Costos!O91</x:f>
        <x:v>39</x:v>
      </x:c>
      <x:c r="H91" s="21" t="str">
        <x:f>Base_Costos!N91</x:f>
        <x:v>OK</x:v>
      </x:c>
    </x:row>
    <x:row r="92">
      <x:c r="A92" s="21" t="str">
        <x:f>Base_Costos!B92</x:f>
        <x:v>Carpintería y Madera</x:v>
      </x:c>
      <x:c r="B92" s="21" t="str">
        <x:f>Base_Costos!C92</x:f>
        <x:v>FRL1400-9</x:v>
      </x:c>
      <x:c r="C92" s="21" t="str">
        <x:f>Base_Costos!D92</x:f>
        <x:v>FRESADORA 1400W</x:v>
      </x:c>
      <x:c r="D92" s="21" t="str">
        <x:f>Base_Costos!E92</x:f>
        <x:v>Herramienta para carpintería, corte, lijado y terminación en madera. Recomendada para trabajos precisos y terminación prolija.</x:v>
      </x:c>
      <x:c r="E92" s="22" t="n">
        <x:f>Base_Costos!J92</x:f>
        <x:v>224100</x:v>
      </x:c>
      <x:c r="F92" s="22" t="n">
        <x:f>Base_Costos!K92</x:f>
        <x:v>212900</x:v>
      </x:c>
      <x:c r="G92" s="21" t="n">
        <x:f>Base_Costos!O92</x:f>
        <x:v>40</x:v>
      </x:c>
      <x:c r="H92" s="21" t="str">
        <x:f>Base_Costos!N92</x:f>
        <x:v>OK</x:v>
      </x:c>
    </x:row>
    <x:row r="93">
      <x:c r="A93" s="21" t="str">
        <x:f>Base_Costos!B93</x:f>
        <x:v>Carpintería y Madera</x:v>
      </x:c>
      <x:c r="B93" s="21" t="str">
        <x:f>Base_Costos!C93</x:f>
        <x:v>LQI-1650</x:v>
      </x:c>
      <x:c r="C93" s="21" t="str">
        <x:f>Base_Costos!D93</x:f>
        <x:v>INGLETADORA 1650W</x:v>
      </x:c>
      <x:c r="D93" s="21" t="str">
        <x:f>Base_Costos!E93</x:f>
        <x:v>Herramienta para carpintería, corte, lijado y terminación en madera. Recomendada para trabajos precisos y terminación prolija.</x:v>
      </x:c>
      <x:c r="E93" s="22" t="n">
        <x:f>Base_Costos!J93</x:f>
        <x:v>367900</x:v>
      </x:c>
      <x:c r="F93" s="22" t="n">
        <x:f>Base_Costos!K93</x:f>
        <x:v>349600</x:v>
      </x:c>
      <x:c r="G93" s="21" t="n">
        <x:f>Base_Costos!O93</x:f>
        <x:v>40</x:v>
      </x:c>
      <x:c r="H93" s="21" t="str">
        <x:f>Base_Costos!N93</x:f>
        <x:v>OK</x:v>
      </x:c>
    </x:row>
    <x:row r="94">
      <x:c r="A94" s="21" t="str">
        <x:f>Base_Costos!B94</x:f>
        <x:v>Carpintería y Madera</x:v>
      </x:c>
      <x:c r="B94" s="21" t="str">
        <x:f>Base_Costos!C94</x:f>
        <x:v>LBL810-7</x:v>
      </x:c>
      <x:c r="C94" s="21" t="str">
        <x:f>Base_Costos!D94</x:f>
        <x:v>LIJADORA DE BANDA 810W</x:v>
      </x:c>
      <x:c r="D94" s="21" t="str">
        <x:f>Base_Costos!E94</x:f>
        <x:v>Herramienta para carpintería, corte, lijado y terminación en madera. Recomendada para trabajos precisos y terminación prolija.</x:v>
      </x:c>
      <x:c r="E94" s="22" t="n">
        <x:f>Base_Costos!J94</x:f>
        <x:v>151600</x:v>
      </x:c>
      <x:c r="F94" s="22" t="n">
        <x:f>Base_Costos!K94</x:f>
        <x:v>144100</x:v>
      </x:c>
      <x:c r="G94" s="21" t="n">
        <x:f>Base_Costos!O94</x:f>
        <x:v>40</x:v>
      </x:c>
      <x:c r="H94" s="21" t="str">
        <x:f>Base_Costos!N94</x:f>
        <x:v>OK</x:v>
      </x:c>
    </x:row>
    <x:row r="95">
      <x:c r="A95" s="21" t="str">
        <x:f>Base_Costos!B95</x:f>
        <x:v>Carpintería y Madera</x:v>
      </x:c>
      <x:c r="B95" s="21" t="str">
        <x:f>Base_Costos!C95</x:f>
        <x:v>LRL300-8</x:v>
      </x:c>
      <x:c r="C95" s="21" t="str">
        <x:f>Base_Costos!D95</x:f>
        <x:v>LIJADORA ROTO ORBITAL</x:v>
      </x:c>
      <x:c r="D95" s="21" t="str">
        <x:f>Base_Costos!E95</x:f>
        <x:v>Herramienta para carpintería, corte, lijado y terminación en madera. Recomendada para trabajos precisos y terminación prolija.</x:v>
      </x:c>
      <x:c r="E95" s="22" t="n">
        <x:f>Base_Costos!J95</x:f>
        <x:v>86300</x:v>
      </x:c>
      <x:c r="F95" s="22" t="n">
        <x:f>Base_Costos!K95</x:f>
        <x:v>82000</x:v>
      </x:c>
      <x:c r="G95" s="21" t="n">
        <x:f>Base_Costos!O95</x:f>
        <x:v>41</x:v>
      </x:c>
      <x:c r="H95" s="21" t="str">
        <x:f>Base_Costos!N95</x:f>
        <x:v>Revisar OCR</x:v>
      </x:c>
    </x:row>
    <x:row r="96">
      <x:c r="A96" s="21" t="str">
        <x:f>Base_Costos!B96</x:f>
        <x:v>Carpintería y Madera</x:v>
      </x:c>
      <x:c r="B96" s="21" t="str">
        <x:f>Base_Costos!C96</x:f>
        <x:v>LQLB-250</x:v>
      </x:c>
      <x:c r="C96" s="21" t="str">
        <x:f>Base_Costos!D96</x:f>
        <x:v>Lijadora De Banda Banco Combinada Lusatoff 44 O Watts</x:v>
      </x:c>
      <x:c r="D96" s="21" t="str">
        <x:f>Base_Costos!E96</x:f>
        <x:v>Herramienta para carpintería, corte, lijado y terminación en madera. Recomendada para trabajos precisos y terminación prolija.</x:v>
      </x:c>
      <x:c r="E96" s="22" t="n">
        <x:f>Base_Costos!J96</x:f>
        <x:v>304500</x:v>
      </x:c>
      <x:c r="F96" s="22" t="n">
        <x:f>Base_Costos!K96</x:f>
        <x:v>289300</x:v>
      </x:c>
      <x:c r="G96" s="21" t="n">
        <x:f>Base_Costos!O96</x:f>
        <x:v>41</x:v>
      </x:c>
      <x:c r="H96" s="21" t="str">
        <x:f>Base_Costos!N96</x:f>
        <x:v>Revisar OCR</x:v>
      </x:c>
    </x:row>
    <x:row r="97">
      <x:c r="A97" s="21" t="str">
        <x:f>Base_Costos!B97</x:f>
        <x:v>Carpintería y Madera</x:v>
      </x:c>
      <x:c r="B97" s="21" t="str">
        <x:f>Base_Costos!C97</x:f>
        <x:v>SCL710-8</x:v>
      </x:c>
      <x:c r="C97" s="21" t="str">
        <x:f>Base_Costos!D97</x:f>
        <x:v>SIERRA CALADORA 710W</x:v>
      </x:c>
      <x:c r="D97" s="21" t="str">
        <x:f>Base_Costos!E97</x:f>
        <x:v>Herramienta para carpintería, corte, lijado y terminación en madera. Recomendada para trabajos precisos y terminación prolija.</x:v>
      </x:c>
      <x:c r="E97" s="22" t="n">
        <x:f>Base_Costos!J97</x:f>
        <x:v>131400</x:v>
      </x:c>
      <x:c r="F97" s="22" t="n">
        <x:f>Base_Costos!K97</x:f>
        <x:v>124900</x:v>
      </x:c>
      <x:c r="G97" s="21" t="n">
        <x:f>Base_Costos!O97</x:f>
        <x:v>41</x:v>
      </x:c>
      <x:c r="H97" s="21" t="str">
        <x:f>Base_Costos!N97</x:f>
        <x:v>OK</x:v>
      </x:c>
    </x:row>
    <x:row r="98">
      <x:c r="A98" s="21" t="str">
        <x:f>Base_Costos!B98</x:f>
        <x:v>Carpintería y Madera</x:v>
      </x:c>
      <x:c r="B98" s="21" t="str">
        <x:f>Base_Costos!C98</x:f>
        <x:v>LX-4076</x:v>
      </x:c>
      <x:c r="C98" s="21" t="str">
        <x:f>Base_Costos!D98</x:f>
        <x:v>LIJADORA ROTO ORBITAL NEUMATICA</x:v>
      </x:c>
      <x:c r="D98" s="21" t="str">
        <x:f>Base_Costos!E98</x:f>
        <x:v>Equipo y accesorios para aire comprimido. Ideal para inflado, pintura, limpieza, herramientas neumáticas y uso de taller.</x:v>
      </x:c>
      <x:c r="E98" s="22" t="n">
        <x:f>Base_Costos!J98</x:f>
        <x:v>88500</x:v>
      </x:c>
      <x:c r="F98" s="22" t="n">
        <x:f>Base_Costos!K98</x:f>
        <x:v>84100</x:v>
      </x:c>
      <x:c r="G98" s="21" t="n">
        <x:f>Base_Costos!O98</x:f>
        <x:v>42</x:v>
      </x:c>
      <x:c r="H98" s="21" t="str">
        <x:f>Base_Costos!N98</x:f>
        <x:v>OK</x:v>
      </x:c>
    </x:row>
    <x:row r="99">
      <x:c r="A99" s="21" t="str">
        <x:f>Base_Costos!B99</x:f>
        <x:v>Jardinería / Camping / Exterior</x:v>
      </x:c>
      <x:c r="B99" s="21" t="str">
        <x:f>Base_Costos!C99</x:f>
        <x:v>GBL-8</x:v>
      </x:c>
      <x:c r="C99" s="21" t="str">
        <x:f>Base_Costos!D99</x:f>
        <x:v>GAZEBO 3x3 TELA OXFORD</x:v>
      </x:c>
      <x:c r="D99" s="21" t="str">
        <x:f>Base_Costos!E99</x:f>
        <x:v>Producto para jardín, camping y exterior. Recomendado para mantenimiento de espacios verdes, uso recreativo y tareas outdoor.</x:v>
      </x:c>
      <x:c r="E99" s="22" t="n">
        <x:f>Base_Costos!J99</x:f>
        <x:v>202900</x:v>
      </x:c>
      <x:c r="F99" s="22" t="n">
        <x:f>Base_Costos!K99</x:f>
        <x:v>192800</x:v>
      </x:c>
      <x:c r="G99" s="21" t="n">
        <x:f>Base_Costos!O99</x:f>
        <x:v>43</x:v>
      </x:c>
      <x:c r="H99" s="21" t="str">
        <x:f>Base_Costos!N99</x:f>
        <x:v>OK</x:v>
      </x:c>
    </x:row>
    <x:row r="100">
      <x:c r="A100" s="21" t="str">
        <x:f>Base_Costos!B100</x:f>
        <x:v>Jardinería / Camping / Exterior</x:v>
      </x:c>
      <x:c r="B100" s="21" t="str">
        <x:f>Base_Costos!C100</x:f>
        <x:v>JK-1008P</x:v>
      </x:c>
      <x:c r="C100" s="21" t="str">
        <x:f>Base_Costos!D100</x:f>
        <x:v>CALEFACTOR EXTERIOR GAS BLANCO CON PELOT A</x:v>
      </x:c>
      <x:c r="D100" s="21" t="str">
        <x:f>Base_Costos!E100</x:f>
        <x:v>Producto Lusqtoff para uso profesional, taller, hogar o mantenimiento. Consultar disponibilidad y garantía oficial.</x:v>
      </x:c>
      <x:c r="E100" s="22" t="n">
        <x:f>Base_Costos!J100</x:f>
        <x:v>394600</x:v>
      </x:c>
      <x:c r="F100" s="22" t="n">
        <x:f>Base_Costos!K100</x:f>
        <x:v>374900</x:v>
      </x:c>
      <x:c r="G100" s="21" t="n">
        <x:f>Base_Costos!O100</x:f>
        <x:v>44</x:v>
      </x:c>
      <x:c r="H100" s="21" t="str">
        <x:f>Base_Costos!N100</x:f>
        <x:v>Revisar OCR</x:v>
      </x:c>
    </x:row>
    <x:row r="101">
      <x:c r="A101" s="21" t="str">
        <x:f>Base_Costos!B101</x:f>
        <x:v>Jardinería / Camping / Exterior</x:v>
      </x:c>
      <x:c r="B101" s="21" t="str">
        <x:f>Base_Costos!C101</x:f>
        <x:v>JK-1010</x:v>
      </x:c>
      <x:c r="C101" s="21" t="str">
        <x:f>Base_Costos!D101</x:f>
        <x:v>CALEFACTOR GAS GARRAFA -6M 1000</x:v>
      </x:c>
      <x:c r="D101" s="21" t="str">
        <x:f>Base_Costos!E101</x:f>
        <x:v>Producto Lusqtoff para uso profesional, taller, hogar o mantenimiento. Consultar disponibilidad y garantía oficial.</x:v>
      </x:c>
      <x:c r="E101" s="22" t="n">
        <x:f>Base_Costos!J101</x:f>
        <x:v>692400</x:v>
      </x:c>
      <x:c r="F101" s="22" t="n">
        <x:f>Base_Costos!K101</x:f>
        <x:v>657800</x:v>
      </x:c>
      <x:c r="G101" s="21" t="n">
        <x:f>Base_Costos!O101</x:f>
        <x:v>44</x:v>
      </x:c>
      <x:c r="H101" s="21" t="str">
        <x:f>Base_Costos!N101</x:f>
        <x:v>Revisar OCR</x:v>
      </x:c>
    </x:row>
    <x:row r="102">
      <x:c r="A102" s="21" t="str">
        <x:f>Base_Costos!B102</x:f>
        <x:v>Jardinería / Camping / Exterior</x:v>
      </x:c>
      <x:c r="B102" s="21" t="str">
        <x:f>Base_Costos!C102</x:f>
        <x:v>ANL2000-72</x:v>
      </x:c>
      <x:c r="C102" s="21" t="str">
        <x:f>Base_Costos!D102</x:f>
        <x:v>ANAFE ELECTRICO 2 HORNALLAS 1000W</x:v>
      </x:c>
      <x:c r="D102" s="21" t="str">
        <x:f>Base_Costos!E102</x:f>
        <x:v>Producto Lusqtoff para uso profesional, taller, hogar o mantenimiento. Consultar disponibilidad y garantía oficial.</x:v>
      </x:c>
      <x:c r="E102" s="22" t="n">
        <x:f>Base_Costos!J102</x:f>
        <x:v>56500</x:v>
      </x:c>
      <x:c r="F102" s="22" t="n">
        <x:f>Base_Costos!K102</x:f>
        <x:v>53700</x:v>
      </x:c>
      <x:c r="G102" s="21" t="n">
        <x:f>Base_Costos!O102</x:f>
        <x:v>45</x:v>
      </x:c>
      <x:c r="H102" s="21" t="str">
        <x:f>Base_Costos!N102</x:f>
        <x:v>Revisar OCR</x:v>
      </x:c>
    </x:row>
    <x:row r="103">
      <x:c r="A103" s="21" t="str">
        <x:f>Base_Costos!B103</x:f>
        <x:v>Jardinería / Camping / Exterior</x:v>
      </x:c>
      <x:c r="B103" s="21" t="str">
        <x:f>Base_Costos!C103</x:f>
        <x:v>LE4OO</x:v>
      </x:c>
      <x:c r="C103" s="21" t="str">
        <x:f>Base_Costos!D103</x:f>
        <x:v>ESCALERA PLEGABLE ALUMINIO 4x4</x:v>
      </x:c>
      <x:c r="D103" s="21" t="str">
        <x:f>Base_Costos!E103</x:f>
        <x:v>Producto Lusqtoff para uso profesional, taller, hogar o mantenimiento. Consultar disponibilidad y garantía oficial.</x:v>
      </x:c>
      <x:c r="E103" s="22" t="n">
        <x:f>Base_Costos!J103</x:f>
        <x:v>211800</x:v>
      </x:c>
      <x:c r="F103" s="22" t="n">
        <x:f>Base_Costos!K103</x:f>
        <x:v>201300</x:v>
      </x:c>
      <x:c r="G103" s="21" t="n">
        <x:f>Base_Costos!O103</x:f>
        <x:v>45</x:v>
      </x:c>
      <x:c r="H103" s="21" t="str">
        <x:f>Base_Costos!N103</x:f>
        <x:v>OK</x:v>
      </x:c>
    </x:row>
    <x:row r="104">
      <x:c r="A104" s="21" t="str">
        <x:f>Base_Costos!B104</x:f>
        <x:v>Estética y Accesorios Automotor</x:v>
      </x:c>
      <x:c r="B104" s="21" t="str">
        <x:f>Base_Costos!C104</x:f>
        <x:v>HL100-7</x:v>
      </x:c>
      <x:c r="C104" s="21" t="str">
        <x:f>Base_Costos!D104</x:f>
        <x:v>HIDROLAVADORA 70 BAR 1200W</x:v>
      </x:c>
      <x:c r="D104" s="21" t="str">
        <x:f>Base_Costos!E104</x:f>
        <x:v>Producto para cuidado automotor, detailing y mantenimiento. Ideal para limpieza, energía auxiliar y uso de taller.</x:v>
      </x:c>
      <x:c r="E104" s="22" t="n">
        <x:f>Base_Costos!J104</x:f>
        <x:v>138400</x:v>
      </x:c>
      <x:c r="F104" s="22" t="n">
        <x:f>Base_Costos!K104</x:f>
        <x:v>131500</x:v>
      </x:c>
      <x:c r="G104" s="21" t="n">
        <x:f>Base_Costos!O104</x:f>
        <x:v>46</x:v>
      </x:c>
      <x:c r="H104" s="21" t="str">
        <x:f>Base_Costos!N104</x:f>
        <x:v>Revisar OCR</x:v>
      </x:c>
    </x:row>
    <x:row r="105">
      <x:c r="A105" s="21" t="str">
        <x:f>Base_Costos!B105</x:f>
        <x:v>Estética y Accesorios Automotor</x:v>
      </x:c>
      <x:c r="B105" s="21" t="str">
        <x:f>Base_Costos!C105</x:f>
        <x:v>LT-590</x:v>
      </x:c>
      <x:c r="C105" s="21" t="str">
        <x:f>Base_Costos!D105</x:f>
        <x:v>HIDROLAVADORA ELÉCTRICA PROFESIONAL 2200W</x:v>
      </x:c>
      <x:c r="D105" s="21" t="str">
        <x:f>Base_Costos!E105</x:f>
        <x:v>Producto para cuidado automotor, detailing y mantenimiento. Ideal para limpieza, energía auxiliar y uso de taller.</x:v>
      </x:c>
      <x:c r="E105" s="22" t="n">
        <x:f>Base_Costos!J105</x:f>
        <x:v>706800</x:v>
      </x:c>
      <x:c r="F105" s="22" t="n">
        <x:f>Base_Costos!K105</x:f>
        <x:v>671500</x:v>
      </x:c>
      <x:c r="G105" s="21" t="n">
        <x:f>Base_Costos!O105</x:f>
        <x:v>46</x:v>
      </x:c>
      <x:c r="H105" s="21" t="str">
        <x:f>Base_Costos!N105</x:f>
        <x:v>Revisar OCR</x:v>
      </x:c>
    </x:row>
    <x:row r="106">
      <x:c r="A106" s="21" t="str">
        <x:f>Base_Costos!B106</x:f>
        <x:v>Jardinería / Camping / Exterior</x:v>
      </x:c>
      <x:c r="B106" s="21" t="str">
        <x:f>Base_Costos!C106</x:f>
        <x:v>ESL166-75</x:v>
      </x:c>
      <x:c r="C106" s="21" t="str">
        <x:f>Base_Costos!D106</x:f>
        <x:v>ESCALERA HOGAREÑA 5ESCALONES</x:v>
      </x:c>
      <x:c r="D106" s="21" t="str">
        <x:f>Base_Costos!E106</x:f>
        <x:v>Producto Lusqtoff para uso profesional, taller, hogar o mantenimiento. Consultar disponibilidad y garantía oficial.</x:v>
      </x:c>
      <x:c r="E106" s="22" t="n">
        <x:f>Base_Costos!J106</x:f>
        <x:v>117700</x:v>
      </x:c>
      <x:c r="F106" s="22" t="n">
        <x:f>Base_Costos!K106</x:f>
        <x:v>111900</x:v>
      </x:c>
      <x:c r="G106" s="21" t="n">
        <x:f>Base_Costos!O106</x:f>
        <x:v>46</x:v>
      </x:c>
      <x:c r="H106" s="21" t="str">
        <x:f>Base_Costos!N106</x:f>
        <x:v>Revisar OCR</x:v>
      </x:c>
    </x:row>
    <x:row r="107">
      <x:c r="A107" s="21" t="str">
        <x:f>Base_Costos!B107</x:f>
        <x:v>Estética y Accesorios Automotor</x:v>
      </x:c>
      <x:c r="B107" s="21" t="str">
        <x:f>Base_Costos!C107</x:f>
        <x:v>LH-75</x:v>
      </x:c>
      <x:c r="C107" s="21" t="str">
        <x:f>Base_Costos!D107</x:f>
        <x:v>HIDROLAVADORA A EXPLOSION 75</x:v>
      </x:c>
      <x:c r="D107" s="21" t="str">
        <x:f>Base_Costos!E107</x:f>
        <x:v>Producto para cuidado automotor, detailing y mantenimiento. Ideal para limpieza, energía auxiliar y uso de taller.</x:v>
      </x:c>
      <x:c r="E107" s="22" t="n">
        <x:f>Base_Costos!J107</x:f>
        <x:v>1224600</x:v>
      </x:c>
      <x:c r="F107" s="22" t="n">
        <x:f>Base_Costos!K107</x:f>
        <x:v>1163400</x:v>
      </x:c>
      <x:c r="G107" s="21" t="n">
        <x:f>Base_Costos!O107</x:f>
        <x:v>47</x:v>
      </x:c>
      <x:c r="H107" s="21" t="str">
        <x:f>Base_Costos!N107</x:f>
        <x:v>Revisar OCR</x:v>
      </x:c>
    </x:row>
    <x:row r="108">
      <x:c r="A108" s="21" t="str">
        <x:f>Base_Costos!B108</x:f>
        <x:v>Estética y Accesorios Automotor</x:v>
      </x:c>
      <x:c r="B108" s="21" t="str">
        <x:f>Base_Costos!C108</x:f>
        <x:v>HL-120</x:v>
      </x:c>
      <x:c r="C108" s="21" t="str">
        <x:f>Base_Costos!D108</x:f>
        <x:v>HIDROLAVADORA ELECTRICA</x:v>
      </x:c>
      <x:c r="D108" s="21" t="str">
        <x:f>Base_Costos!E108</x:f>
        <x:v>Producto para cuidado automotor, detailing y mantenimiento. Ideal para limpieza, energía auxiliar y uso de taller.</x:v>
      </x:c>
      <x:c r="E108" s="22" t="n">
        <x:f>Base_Costos!J108</x:f>
        <x:v>159100</x:v>
      </x:c>
      <x:c r="F108" s="22" t="n">
        <x:f>Base_Costos!K108</x:f>
        <x:v>151200</x:v>
      </x:c>
      <x:c r="G108" s="21" t="n">
        <x:f>Base_Costos!O108</x:f>
        <x:v>47</x:v>
      </x:c>
      <x:c r="H108" s="21" t="str">
        <x:f>Base_Costos!N108</x:f>
        <x:v>Revisar OCR</x:v>
      </x:c>
    </x:row>
    <x:row r="109">
      <x:c r="A109" s="21" t="str">
        <x:f>Base_Costos!B109</x:f>
        <x:v>Jardinería / Camping / Exterior</x:v>
      </x:c>
      <x:c r="B109" s="21" t="str">
        <x:f>Base_Costos!C109</x:f>
        <x:v>ESL2000-8</x:v>
      </x:c>
      <x:c r="C109" s="21" t="str">
        <x:f>Base_Costos!D109</x:f>
        <x:v>ELECTROSIERRA 2000W</x:v>
      </x:c>
      <x:c r="D109" s="21" t="str">
        <x:f>Base_Costos!E109</x:f>
        <x:v>Herramienta para carpintería, corte, lijado y terminación en madera. Recomendada para trabajos precisos y terminación prolija.</x:v>
      </x:c>
      <x:c r="E109" s="22" t="n">
        <x:f>Base_Costos!J109</x:f>
        <x:v>164700</x:v>
      </x:c>
      <x:c r="F109" s="22" t="n">
        <x:f>Base_Costos!K109</x:f>
        <x:v>156500</x:v>
      </x:c>
      <x:c r="G109" s="21" t="n">
        <x:f>Base_Costos!O109</x:f>
        <x:v>48</x:v>
      </x:c>
      <x:c r="H109" s="21" t="str">
        <x:f>Base_Costos!N109</x:f>
        <x:v>OK</x:v>
      </x:c>
    </x:row>
    <x:row r="110">
      <x:c r="A110" s="21" t="str">
        <x:f>Base_Costos!B110</x:f>
        <x:v>Jardinería / Camping / Exterior</x:v>
      </x:c>
      <x:c r="B110" s="21" t="str">
        <x:f>Base_Costos!C110</x:f>
        <x:v>GP40-7BK</x:v>
      </x:c>
      <x:c r="C110" s="21" t="str">
        <x:f>Base_Costos!D110</x:f>
        <x:v>MINI MOTOSIERRA A BATERIA</x:v>
      </x:c>
      <x:c r="D110" s="21" t="str">
        <x:f>Base_Costos!E110</x:f>
        <x:v>Herramienta para carpintería, corte, lijado y terminación en madera. Recomendada para trabajos precisos y terminación prolija.</x:v>
      </x:c>
      <x:c r="E110" s="22" t="n">
        <x:f>Base_Costos!J110</x:f>
        <x:v>101700</x:v>
      </x:c>
      <x:c r="F110" s="22" t="n">
        <x:f>Base_Costos!K110</x:f>
        <x:v>96700</x:v>
      </x:c>
      <x:c r="G110" s="21" t="n">
        <x:f>Base_Costos!O110</x:f>
        <x:v>48</x:v>
      </x:c>
      <x:c r="H110" s="21" t="str">
        <x:f>Base_Costos!N110</x:f>
        <x:v>OK</x:v>
      </x:c>
    </x:row>
    <x:row r="111">
      <x:c r="A111" s="21" t="str">
        <x:f>Base_Costos!B111</x:f>
        <x:v>Jardinería / Camping / Exterior</x:v>
      </x:c>
      <x:c r="B111" s="21" t="str">
        <x:f>Base_Costos!C111</x:f>
        <x:v>BL18-8B</x:v>
      </x:c>
      <x:c r="C111" s="21" t="str">
        <x:f>Base_Costos!D111</x:f>
        <x:v>BORDEADORA A BATERIA</x:v>
      </x:c>
      <x:c r="D111" s="21" t="str">
        <x:f>Base_Costos!E111</x:f>
        <x:v>Producto para jardín, camping y exterior. Recomendado para mantenimiento de espacios verdes, uso recreativo y tareas outdoor.</x:v>
      </x:c>
      <x:c r="E111" s="22" t="n">
        <x:f>Base_Costos!J111</x:f>
        <x:v>100100</x:v>
      </x:c>
      <x:c r="F111" s="22" t="n">
        <x:f>Base_Costos!K111</x:f>
        <x:v>95100</x:v>
      </x:c>
      <x:c r="G111" s="21" t="n">
        <x:f>Base_Costos!O111</x:f>
        <x:v>49</x:v>
      </x:c>
      <x:c r="H111" s="21" t="str">
        <x:f>Base_Costos!N111</x:f>
        <x:v>OK</x:v>
      </x:c>
    </x:row>
    <x:row r="112">
      <x:c r="A112" s="21" t="str">
        <x:f>Base_Costos!B112</x:f>
        <x:v>Jardinería / Camping / Exterior</x:v>
      </x:c>
      <x:c r="B112" s="21" t="str">
        <x:f>Base_Costos!C112</x:f>
        <x:v>LCO-1640B</x:v>
      </x:c>
      <x:c r="C112" s="21" t="str">
        <x:f>Base_Costos!D112</x:f>
        <x:v>CORTADORA DE CESPED 1600W LUSQTOFF</x:v>
      </x:c>
      <x:c r="D112" s="21" t="str">
        <x:f>Base_Costos!E112</x:f>
        <x:v>Producto orientado a corte, desbaste y terminación. Recomendado para metal, obra y mantenimiento general.</x:v>
      </x:c>
      <x:c r="E112" s="22" t="n">
        <x:f>Base_Costos!J112</x:f>
        <x:v>282000</x:v>
      </x:c>
      <x:c r="F112" s="22" t="n">
        <x:f>Base_Costos!K112</x:f>
        <x:v>267900</x:v>
      </x:c>
      <x:c r="G112" s="21" t="n">
        <x:f>Base_Costos!O112</x:f>
        <x:v>51</x:v>
      </x:c>
      <x:c r="H112" s="21" t="str">
        <x:f>Base_Costos!N112</x:f>
        <x:v>OK</x:v>
      </x:c>
    </x:row>
    <x:row r="113">
      <x:c r="A113" s="21" t="str">
        <x:f>Base_Costos!B113</x:f>
        <x:v>Jardinería / Camping / Exterior</x:v>
      </x:c>
      <x:c r="B113" s="21" t="str">
        <x:f>Base_Costos!C113</x:f>
        <x:v>1C0-10328</x:v>
      </x:c>
      <x:c r="C113" s="21" t="str">
        <x:f>Base_Costos!D113</x:f>
        <x:v>CORTADORA DE CESPED ELECTRICA</x:v>
      </x:c>
      <x:c r="D113" s="21" t="str">
        <x:f>Base_Costos!E113</x:f>
        <x:v>Producto orientado a corte, desbaste y terminación. Recomendado para metal, obra y mantenimiento general.</x:v>
      </x:c>
      <x:c r="E113" s="22" t="n">
        <x:f>Base_Costos!J113</x:f>
        <x:v>256500</x:v>
      </x:c>
      <x:c r="F113" s="22" t="n">
        <x:f>Base_Costos!K113</x:f>
        <x:v>243700</x:v>
      </x:c>
      <x:c r="G113" s="21" t="n">
        <x:f>Base_Costos!O113</x:f>
        <x:v>51</x:v>
      </x:c>
      <x:c r="H113" s="21" t="str">
        <x:f>Base_Costos!N113</x:f>
        <x:v>Revisar OCR</x:v>
      </x:c>
    </x:row>
    <x:row r="114">
      <x:c r="A114" s="21" t="str">
        <x:f>Base_Costos!B114</x:f>
        <x:v>Jardinería / Camping / Exterior</x:v>
      </x:c>
      <x:c r="B114" s="21" t="str">
        <x:f>Base_Costos!C114</x:f>
      </x:c>
      <x:c r="C114" s="21" t="str">
        <x:f>Base_Costos!D114</x:f>
        <x:v>‘SPL2400-8 - SOPLADOR ASPIRADOR ELECTRICO 2400W</x:v>
      </x:c>
      <x:c r="D114" s="21" t="str">
        <x:f>Base_Costos!E114</x:f>
        <x:v>Producto Lusqtoff para uso profesional, taller, hogar o mantenimiento. Consultar disponibilidad y garantía oficial.</x:v>
      </x:c>
      <x:c r="E114" s="22" t="n">
        <x:f>Base_Costos!J114</x:f>
        <x:v>101500</x:v>
      </x:c>
      <x:c r="F114" s="22" t="n">
        <x:f>Base_Costos!K114</x:f>
        <x:v>96500</x:v>
      </x:c>
      <x:c r="G114" s="21" t="n">
        <x:f>Base_Costos!O114</x:f>
        <x:v>51</x:v>
      </x:c>
      <x:c r="H114" s="21" t="str">
        <x:f>Base_Costos!N114</x:f>
        <x:v>OK</x:v>
      </x:c>
    </x:row>
    <x:row r="115">
      <x:c r="A115" s="21" t="str">
        <x:f>Base_Costos!B115</x:f>
        <x:v>Jardinería / Camping / Exterior</x:v>
      </x:c>
      <x:c r="B115" s="21" t="str">
        <x:f>Base_Costos!C115</x:f>
        <x:v>LOMCP-8</x:v>
      </x:c>
      <x:c r="C115" s="21" t="str">
        <x:f>Base_Costos!D115</x:f>
        <x:v>CASCO FORESTAL CERTIFICADO HASTA 291 DB</x:v>
      </x:c>
      <x:c r="D115" s="21" t="str">
        <x:f>Base_Costos!E115</x:f>
        <x:v>Producto Lusqtoff para uso profesional, taller, hogar o mantenimiento. Consultar disponibilidad y garantía oficial.</x:v>
      </x:c>
      <x:c r="E115" s="22" t="n">
        <x:f>Base_Costos!J115</x:f>
        <x:v>93900</x:v>
      </x:c>
      <x:c r="F115" s="22" t="n">
        <x:f>Base_Costos!K115</x:f>
        <x:v>89300</x:v>
      </x:c>
      <x:c r="G115" s="21" t="n">
        <x:f>Base_Costos!O115</x:f>
        <x:v>52</x:v>
      </x:c>
      <x:c r="H115" s="21" t="str">
        <x:f>Base_Costos!N115</x:f>
        <x:v>OK</x:v>
      </x:c>
    </x:row>
    <x:row r="116">
      <x:c r="A116" s="21" t="str">
        <x:f>Base_Costos!B116</x:f>
        <x:v>Jardinería / Camping / Exterior</x:v>
      </x:c>
      <x:c r="B116" s="21" t="str">
        <x:f>Base_Costos!C116</x:f>
        <x:v>COL550-8</x:v>
      </x:c>
      <x:c r="C116" s="21" t="str">
        <x:f>Base_Costos!D116</x:f>
        <x:v>CORTACERCO ELECTRICO</x:v>
      </x:c>
      <x:c r="D116" s="21" t="str">
        <x:f>Base_Costos!E116</x:f>
        <x:v>Producto para jardín, camping y exterior. Recomendado para mantenimiento de espacios verdes, uso recreativo y tareas outdoor.</x:v>
      </x:c>
      <x:c r="E116" s="22" t="n">
        <x:f>Base_Costos!J116</x:f>
        <x:v>132400</x:v>
      </x:c>
      <x:c r="F116" s="22" t="n">
        <x:f>Base_Costos!K116</x:f>
        <x:v>125800</x:v>
      </x:c>
      <x:c r="G116" s="21" t="n">
        <x:f>Base_Costos!O116</x:f>
        <x:v>52</x:v>
      </x:c>
      <x:c r="H116" s="21" t="str">
        <x:f>Base_Costos!N116</x:f>
        <x:v>OK</x:v>
      </x:c>
    </x:row>
    <x:row r="117">
      <x:c r="A117" s="21" t="str">
        <x:f>Base_Costos!B117</x:f>
        <x:v>Jardinería / Camping / Exterior</x:v>
      </x:c>
      <x:c r="B117" s="21" t="str">
        <x:f>Base_Costos!C117</x:f>
        <x:v>FPL7</x:v>
      </x:c>
      <x:c r="C117" s="21" t="str">
        <x:f>Base_Costos!D117</x:f>
        <x:v>FUMIGADOR PULVERIZADOR 7LTS</x:v>
      </x:c>
      <x:c r="D117" s="21" t="str">
        <x:f>Base_Costos!E117</x:f>
        <x:v>Producto para jardín, camping y exterior. Recomendado para mantenimiento de espacios verdes, uso recreativo y tareas outdoor.</x:v>
      </x:c>
      <x:c r="E117" s="22" t="n">
        <x:f>Base_Costos!J117</x:f>
        <x:v>35600</x:v>
      </x:c>
      <x:c r="F117" s="22" t="n">
        <x:f>Base_Costos!K117</x:f>
        <x:v>33900</x:v>
      </x:c>
      <x:c r="G117" s="21" t="n">
        <x:f>Base_Costos!O117</x:f>
        <x:v>52</x:v>
      </x:c>
      <x:c r="H117" s="21" t="str">
        <x:f>Base_Costos!N117</x:f>
        <x:v>Revisar OCR</x:v>
      </x:c>
    </x:row>
    <x:row r="118">
      <x:c r="A118" s="21" t="str">
        <x:f>Base_Costos!B118</x:f>
        <x:v>Jardinería / Camping / Exterior</x:v>
      </x:c>
      <x:c r="B118" s="21" t="str">
        <x:f>Base_Costos!C118</x:f>
        <x:v>17920</x:v>
      </x:c>
      <x:c r="C118" s="21" t="str">
        <x:f>Base_Costos!D118</x:f>
        <x:v>LINTERNA LED DE ALUMINIO CILINDRICA RECARGABLE 6000 LUMENES</x:v>
      </x:c>
      <x:c r="D118" s="21" t="str">
        <x:f>Base_Costos!E118</x:f>
        <x:v>Producto para jardín, camping y exterior. Recomendado para mantenimiento de espacios verdes, uso recreativo y tareas outdoor.</x:v>
      </x:c>
      <x:c r="E118" s="22" t="n">
        <x:f>Base_Costos!J118</x:f>
        <x:v>111600</x:v>
      </x:c>
      <x:c r="F118" s="22" t="n">
        <x:f>Base_Costos!K118</x:f>
        <x:v>106100</x:v>
      </x:c>
      <x:c r="G118" s="21" t="n">
        <x:f>Base_Costos!O118</x:f>
        <x:v>53</x:v>
      </x:c>
      <x:c r="H118" s="21" t="str">
        <x:f>Base_Costos!N118</x:f>
        <x:v>Revisar OCR</x:v>
      </x:c>
    </x:row>
    <x:row r="119">
      <x:c r="A119" s="21" t="str">
        <x:f>Base_Costos!B119</x:f>
        <x:v>Jardinería / Camping / Exterior</x:v>
      </x:c>
      <x:c r="B119" s="21" t="str">
        <x:f>Base_Costos!C119</x:f>
        <x:v>17909</x:v>
      </x:c>
      <x:c r="C119" s="21" t="str">
        <x:f>Base_Costos!D119</x:f>
        <x:v>LINTERNA LED RECARGABLE CON IMAN MULTIPOSIC ION</x:v>
      </x:c>
      <x:c r="D119" s="21" t="str">
        <x:f>Base_Costos!E119</x:f>
        <x:v>Producto para jardín, camping y exterior. Recomendado para mantenimiento de espacios verdes, uso recreativo y tareas outdoor.</x:v>
      </x:c>
      <x:c r="E119" s="22" t="n">
        <x:f>Base_Costos!J119</x:f>
        <x:v>25400</x:v>
      </x:c>
      <x:c r="F119" s="22" t="n">
        <x:f>Base_Costos!K119</x:f>
        <x:v>24200</x:v>
      </x:c>
      <x:c r="G119" s="21" t="n">
        <x:f>Base_Costos!O119</x:f>
        <x:v>53</x:v>
      </x:c>
      <x:c r="H119" s="21" t="str">
        <x:f>Base_Costos!N119</x:f>
        <x:v>OK</x:v>
      </x:c>
    </x:row>
    <x:row r="120">
      <x:c r="A120" s="21" t="str">
        <x:f>Base_Costos!B120</x:f>
        <x:v>Jardinería / Camping / Exterior</x:v>
      </x:c>
      <x:c r="B120" s="21" t="str">
        <x:f>Base_Costos!C120</x:f>
        <x:v>17905</x:v>
      </x:c>
      <x:c r="C120" s="21" t="str">
        <x:f>Base_Costos!D120</x:f>
        <x:v>LINTERNA LED VINCHA MINERO RECARGABLE</x:v>
      </x:c>
      <x:c r="D120" s="21" t="str">
        <x:f>Base_Costos!E120</x:f>
        <x:v>Producto para jardín, camping y exterior. Recomendado para mantenimiento de espacios verdes, uso recreativo y tareas outdoor.</x:v>
      </x:c>
      <x:c r="E120" s="22" t="n">
        <x:f>Base_Costos!J120</x:f>
        <x:v>24600</x:v>
      </x:c>
      <x:c r="F120" s="22" t="n">
        <x:f>Base_Costos!K120</x:f>
        <x:v>23400</x:v>
      </x:c>
      <x:c r="G120" s="21" t="n">
        <x:f>Base_Costos!O120</x:f>
        <x:v>53</x:v>
      </x:c>
      <x:c r="H120" s="21" t="str">
        <x:f>Base_Costos!N120</x:f>
        <x:v>Revisar OCR</x:v>
      </x:c>
    </x:row>
    <x:row r="121">
      <x:c r="A121" s="21" t="str">
        <x:f>Base_Costos!B121</x:f>
        <x:v>Jardinería / Camping / Exterior</x:v>
      </x:c>
      <x:c r="B121" s="21" t="str">
        <x:f>Base_Costos!C121</x:f>
        <x:v>17922</x:v>
      </x:c>
      <x:c r="C121" s="21" t="str">
        <x:f>Base_Costos!D121</x:f>
        <x:v>LINTERNA DE ALUMINIO CILINDRICA RECARGABLE 10 00 LUMENES</x:v>
      </x:c>
      <x:c r="D121" s="21" t="str">
        <x:f>Base_Costos!E121</x:f>
        <x:v>Producto para jardín, camping y exterior. Recomendado para mantenimiento de espacios verdes, uso recreativo y tareas outdoor.</x:v>
      </x:c>
      <x:c r="E121" s="22" t="n">
        <x:f>Base_Costos!J121</x:f>
        <x:v>59100</x:v>
      </x:c>
      <x:c r="F121" s="22" t="n">
        <x:f>Base_Costos!K121</x:f>
        <x:v>56200</x:v>
      </x:c>
      <x:c r="G121" s="21" t="n">
        <x:f>Base_Costos!O121</x:f>
        <x:v>54</x:v>
      </x:c>
      <x:c r="H121" s="21" t="str">
        <x:f>Base_Costos!N121</x:f>
        <x:v>Revisar OCR</x:v>
      </x:c>
    </x:row>
    <x:row r="122">
      <x:c r="A122" s="21" t="str">
        <x:f>Base_Costos!B122</x:f>
        <x:v>Jardinería / Camping / Exterior</x:v>
      </x:c>
      <x:c r="B122" s="21" t="str">
        <x:f>Base_Costos!C122</x:f>
        <x:v>17926</x:v>
      </x:c>
      <x:c r="C122" s="21" t="str">
        <x:f>Base_Costos!D122</x:f>
        <x:v>LINTERNA LED DE ALUMINIO CILINDRICA RECARGABL E 1000 LUMENES 2206</x:v>
      </x:c>
      <x:c r="D122" s="21" t="str">
        <x:f>Base_Costos!E122</x:f>
        <x:v>Producto para jardín, camping y exterior. Recomendado para mantenimiento de espacios verdes, uso recreativo y tareas outdoor.</x:v>
      </x:c>
      <x:c r="E122" s="22" t="n">
        <x:f>Base_Costos!J122</x:f>
        <x:v>39800</x:v>
      </x:c>
      <x:c r="F122" s="22" t="n">
        <x:f>Base_Costos!K122</x:f>
        <x:v>37900</x:v>
      </x:c>
      <x:c r="G122" s="21" t="n">
        <x:f>Base_Costos!O122</x:f>
        <x:v>54</x:v>
      </x:c>
      <x:c r="H122" s="21" t="str">
        <x:f>Base_Costos!N122</x:f>
        <x:v>OK</x:v>
      </x:c>
    </x:row>
    <x:row r="123">
      <x:c r="A123" s="21" t="str">
        <x:f>Base_Costos!B123</x:f>
        <x:v>Jardinería / Camping / Exterior</x:v>
      </x:c>
      <x:c r="B123" s="21" t="str">
        <x:f>Base_Costos!C123</x:f>
        <x:v>9034</x:v>
      </x:c>
      <x:c r="C123" s="21" t="str">
        <x:f>Base_Costos!D123</x:f>
        <x:v>TIJERA CORTA CERCO MANGO DE FIBRA PROFESIONAL</x:v>
      </x:c>
      <x:c r="D123" s="21" t="str">
        <x:f>Base_Costos!E123</x:f>
        <x:v>Producto para jardín, camping y exterior. Recomendado para mantenimiento de espacios verdes, uso recreativo y tareas outdoor.</x:v>
      </x:c>
      <x:c r="E123" s="22" t="n">
        <x:f>Base_Costos!J123</x:f>
        <x:v>50800</x:v>
      </x:c>
      <x:c r="F123" s="22" t="n">
        <x:f>Base_Costos!K123</x:f>
        <x:v>48300</x:v>
      </x:c>
      <x:c r="G123" s="21" t="n">
        <x:f>Base_Costos!O123</x:f>
        <x:v>54</x:v>
      </x:c>
      <x:c r="H123" s="21" t="str">
        <x:f>Base_Costos!N123</x:f>
        <x:v>Revisar OCR</x:v>
      </x:c>
    </x:row>
    <x:row r="124">
      <x:c r="A124" s="21" t="str">
        <x:f>Base_Costos!B124</x:f>
        <x:v>Jardinería / Camping / Exterior</x:v>
      </x:c>
      <x:c r="B124" s="21" t="str">
        <x:f>Base_Costos!C124</x:f>
        <x:v>L9070</x:v>
      </x:c>
      <x:c r="C124" s="21" t="str">
        <x:f>Base_Costos!D124</x:f>
        <x:v>HACHA DE MANO 600GR CABO DE FIBRA X6</x:v>
      </x:c>
      <x:c r="D124" s="21" t="str">
        <x:f>Base_Costos!E124</x:f>
        <x:v>Producto para jardín, camping y exterior. Recomendado para mantenimiento de espacios verdes, uso recreativo y tareas outdoor.</x:v>
      </x:c>
      <x:c r="E124" s="22" t="n">
        <x:f>Base_Costos!J124</x:f>
        <x:v>20300</x:v>
      </x:c>
      <x:c r="F124" s="22" t="n">
        <x:f>Base_Costos!K124</x:f>
        <x:v>19300</x:v>
      </x:c>
      <x:c r="G124" s="21" t="n">
        <x:f>Base_Costos!O124</x:f>
        <x:v>55</x:v>
      </x:c>
      <x:c r="H124" s="21" t="str">
        <x:f>Base_Costos!N124</x:f>
        <x:v>Revisar OCR</x:v>
      </x:c>
    </x:row>
    <x:row r="125">
      <x:c r="A125" s="21" t="str">
        <x:f>Base_Costos!B125</x:f>
        <x:v>Jardinería / Camping / Exterior</x:v>
      </x:c>
      <x:c r="B125" s="21" t="str">
        <x:f>Base_Costos!C125</x:f>
        <x:v>L9031</x:v>
      </x:c>
      <x:c r="C125" s="21" t="str">
        <x:f>Base_Costos!D125</x:f>
        <x:v>TIJERA DE CERCO 24"</x:v>
      </x:c>
      <x:c r="D125" s="21" t="str">
        <x:f>Base_Costos!E125</x:f>
        <x:v>Producto para jardín, camping y exterior. Recomendado para mantenimiento de espacios verdes, uso recreativo y tareas outdoor.</x:v>
      </x:c>
      <x:c r="E125" s="22" t="n">
        <x:f>Base_Costos!J125</x:f>
        <x:v>35400</x:v>
      </x:c>
      <x:c r="F125" s="22" t="n">
        <x:f>Base_Costos!K125</x:f>
        <x:v>33700</x:v>
      </x:c>
      <x:c r="G125" s="21" t="n">
        <x:f>Base_Costos!O125</x:f>
        <x:v>55</x:v>
      </x:c>
      <x:c r="H125" s="21" t="str">
        <x:f>Base_Costos!N125</x:f>
        <x:v>OK</x:v>
      </x:c>
    </x:row>
    <x:row r="126">
      <x:c r="A126" s="21" t="str">
        <x:f>Base_Costos!B126</x:f>
        <x:v>Jardinería / Camping / Exterior</x:v>
      </x:c>
      <x:c r="B126" s="21" t="str">
        <x:f>Base_Costos!C126</x:f>
        <x:v>L9051</x:v>
      </x:c>
      <x:c r="C126" s="21" t="str">
        <x:f>Base_Costos!D126</x:f>
        <x:v>TIJERA PARA RAMAS 30"</x:v>
      </x:c>
      <x:c r="D126" s="21" t="str">
        <x:f>Base_Costos!E126</x:f>
        <x:v>Producto para jardín, camping y exterior. Recomendado para mantenimiento de espacios verdes, uso recreativo y tareas outdoor.</x:v>
      </x:c>
      <x:c r="E126" s="22" t="n">
        <x:f>Base_Costos!J126</x:f>
        <x:v>40500</x:v>
      </x:c>
      <x:c r="F126" s="22" t="n">
        <x:f>Base_Costos!K126</x:f>
        <x:v>38500</x:v>
      </x:c>
      <x:c r="G126" s="21" t="n">
        <x:f>Base_Costos!O126</x:f>
        <x:v>55</x:v>
      </x:c>
      <x:c r="H126" s="21" t="str">
        <x:f>Base_Costos!N126</x:f>
        <x:v>Revisar OCR</x:v>
      </x:c>
    </x:row>
    <x:row r="127">
      <x:c r="A127" s="21" t="str">
        <x:f>Base_Costos!B127</x:f>
        <x:v>Jardinería / Camping / Exterior</x:v>
      </x:c>
      <x:c r="B127" s="21" t="str">
        <x:f>Base_Costos!C127</x:f>
        <x:v>L9071</x:v>
      </x:c>
      <x:c r="C127" s="21" t="str">
        <x:f>Base_Costos!D127</x:f>
        <x:v>HACHA DE MANO 680 GRS X6</x:v>
      </x:c>
      <x:c r="D127" s="21" t="str">
        <x:f>Base_Costos!E127</x:f>
        <x:v>Producto para jardín, camping y exterior. Recomendado para mantenimiento de espacios verdes, uso recreativo y tareas outdoor.</x:v>
      </x:c>
      <x:c r="E127" s="22" t="n">
        <x:f>Base_Costos!J127</x:f>
        <x:v>15700</x:v>
      </x:c>
      <x:c r="F127" s="22" t="n">
        <x:f>Base_Costos!K127</x:f>
        <x:v>15000</x:v>
      </x:c>
      <x:c r="G127" s="21" t="n">
        <x:f>Base_Costos!O127</x:f>
        <x:v>56</x:v>
      </x:c>
      <x:c r="H127" s="21" t="str">
        <x:f>Base_Costos!N127</x:f>
        <x:v>OK</x:v>
      </x:c>
    </x:row>
    <x:row r="128">
      <x:c r="A128" s="21" t="str">
        <x:f>Base_Costos!B128</x:f>
        <x:v>Jardinería / Camping / Exterior</x:v>
      </x:c>
      <x:c r="B128" s="21" t="str">
        <x:f>Base_Costos!C128</x:f>
        <x:v>MATLB3E-9</x:v>
      </x:c>
      <x:c r="C128" s="21" t="str">
        <x:f>Base_Costos!D128</x:f>
        <x:v>MATE 300ML BLANCO 3 ESTRELLAS</x:v>
      </x:c>
      <x:c r="D128" s="21" t="str">
        <x:f>Base_Costos!E128</x:f>
        <x:v>Producto para jardín, camping y exterior. Recomendado para mantenimiento de espacios verdes, uso recreativo y tareas outdoor.</x:v>
      </x:c>
      <x:c r="E128" s="22" t="n">
        <x:f>Base_Costos!J128</x:f>
        <x:v>23300</x:v>
      </x:c>
      <x:c r="F128" s="22" t="n">
        <x:f>Base_Costos!K128</x:f>
        <x:v>22200</x:v>
      </x:c>
      <x:c r="G128" s="21" t="n">
        <x:f>Base_Costos!O128</x:f>
        <x:v>56</x:v>
      </x:c>
      <x:c r="H128" s="21" t="str">
        <x:f>Base_Costos!N128</x:f>
        <x:v>OK</x:v>
      </x:c>
    </x:row>
    <x:row r="129">
      <x:c r="A129" s="21" t="str">
        <x:f>Base_Costos!B129</x:f>
        <x:v>Jardinería / Camping / Exterior</x:v>
      </x:c>
      <x:c r="B129" s="21" t="str">
        <x:f>Base_Costos!C129</x:f>
        <x:v>MATLC-9</x:v>
      </x:c>
      <x:c r="C129" s="21" t="str">
        <x:f>Base_Costos!D129</x:f>
        <x:v>MATE 300ML CAMUFLADO</x:v>
      </x:c>
      <x:c r="D129" s="21" t="str">
        <x:f>Base_Costos!E129</x:f>
        <x:v>Producto para jardín, camping y exterior. Recomendado para mantenimiento de espacios verdes, uso recreativo y tareas outdoor.</x:v>
      </x:c>
      <x:c r="E129" s="22" t="n">
        <x:f>Base_Costos!J129</x:f>
        <x:v>23300</x:v>
      </x:c>
      <x:c r="F129" s="22" t="n">
        <x:f>Base_Costos!K129</x:f>
        <x:v>22200</x:v>
      </x:c>
      <x:c r="G129" s="21" t="n">
        <x:f>Base_Costos!O129</x:f>
        <x:v>56</x:v>
      </x:c>
      <x:c r="H129" s="21" t="str">
        <x:f>Base_Costos!N129</x:f>
        <x:v>OK</x:v>
      </x:c>
    </x:row>
    <x:row r="130">
      <x:c r="A130" s="21" t="str">
        <x:f>Base_Costos!B130</x:f>
        <x:v>Jardinería / Camping / Exterior</x:v>
      </x:c>
      <x:c r="B130" s="21" t="str">
        <x:f>Base_Costos!C130</x:f>
        <x:v>MATLR-9</x:v>
      </x:c>
      <x:c r="C130" s="21" t="str">
        <x:f>Base_Costos!D130</x:f>
        <x:v>MATE 300ML COLOR ROSA</x:v>
      </x:c>
      <x:c r="D130" s="21" t="str">
        <x:f>Base_Costos!E130</x:f>
        <x:v>Producto para jardín, camping y exterior. Recomendado para mantenimiento de espacios verdes, uso recreativo y tareas outdoor.</x:v>
      </x:c>
      <x:c r="E130" s="22" t="n">
        <x:f>Base_Costos!J130</x:f>
        <x:v>10200</x:v>
      </x:c>
      <x:c r="F130" s="22" t="n">
        <x:f>Base_Costos!K130</x:f>
        <x:v>9700</x:v>
      </x:c>
      <x:c r="G130" s="21" t="n">
        <x:f>Base_Costos!O130</x:f>
        <x:v>57</x:v>
      </x:c>
      <x:c r="H130" s="21" t="str">
        <x:f>Base_Costos!N130</x:f>
        <x:v>Revisar OCR</x:v>
      </x:c>
    </x:row>
    <x:row r="131">
      <x:c r="A131" s="21" t="str">
        <x:f>Base_Costos!B131</x:f>
        <x:v>Jardinería / Camping / Exterior</x:v>
      </x:c>
      <x:c r="B131" s="21" t="str">
        <x:f>Base_Costos!C131</x:f>
        <x:v>TL1-9R</x:v>
      </x:c>
      <x:c r="C131" s="21" t="str">
        <x:f>Base_Costos!D131</x:f>
        <x:v>TERMO 1 LITRO ROSA</x:v>
      </x:c>
      <x:c r="D131" s="21" t="str">
        <x:f>Base_Costos!E131</x:f>
        <x:v>Producto para jardín, camping y exterior. Recomendado para mantenimiento de espacios verdes, uso recreativo y tareas outdoor.</x:v>
      </x:c>
      <x:c r="E131" s="22" t="n">
        <x:f>Base_Costos!J131</x:f>
        <x:v>40500</x:v>
      </x:c>
      <x:c r="F131" s="22" t="n">
        <x:f>Base_Costos!K131</x:f>
        <x:v>38500</x:v>
      </x:c>
      <x:c r="G131" s="21" t="n">
        <x:f>Base_Costos!O131</x:f>
        <x:v>57</x:v>
      </x:c>
      <x:c r="H131" s="21" t="str">
        <x:f>Base_Costos!N131</x:f>
        <x:v>OK</x:v>
      </x:c>
    </x:row>
    <x:row r="132">
      <x:c r="A132" s="21" t="str">
        <x:f>Base_Costos!B132</x:f>
        <x:v>Jardinería / Camping / Exterior</x:v>
      </x:c>
      <x:c r="B132" s="21" t="str">
        <x:f>Base_Costos!C132</x:f>
        <x:v>TLI-9B</x:v>
      </x:c>
      <x:c r="C132" s="21" t="str">
        <x:f>Base_Costos!D132</x:f>
        <x:v>TERMO INOX. 1 COLOR BLANCO</x:v>
      </x:c>
      <x:c r="D132" s="21" t="str">
        <x:f>Base_Costos!E132</x:f>
        <x:v>Producto para jardín, camping y exterior. Recomendado para mantenimiento de espacios verdes, uso recreativo y tareas outdoor.</x:v>
      </x:c>
      <x:c r="E132" s="22" t="n">
        <x:f>Base_Costos!J132</x:f>
        <x:v>40500</x:v>
      </x:c>
      <x:c r="F132" s="22" t="n">
        <x:f>Base_Costos!K132</x:f>
        <x:v>38500</x:v>
      </x:c>
      <x:c r="G132" s="21" t="n">
        <x:f>Base_Costos!O132</x:f>
        <x:v>57</x:v>
      </x:c>
      <x:c r="H132" s="21" t="str">
        <x:f>Base_Costos!N132</x:f>
        <x:v>OK</x:v>
      </x:c>
    </x:row>
    <x:row r="133">
      <x:c r="A133" s="21" t="str">
        <x:f>Base_Costos!B133</x:f>
        <x:v>Jardinería / Camping / Exterior</x:v>
      </x:c>
      <x:c r="B133" s="21" t="str">
        <x:f>Base_Costos!C133</x:f>
        <x:v>TTL420-88</x:v>
      </x:c>
      <x:c r="C133" s="21" t="str">
        <x:f>Base_Costos!D133</x:f>
        <x:v>TAZA TERMICA BLANCA 420 ML CON TAPA</x:v>
      </x:c>
      <x:c r="D133" s="21" t="str">
        <x:f>Base_Costos!E133</x:f>
        <x:v>Producto Lusqtoff para uso profesional, taller, hogar o mantenimiento. Consultar disponibilidad y garantía oficial.</x:v>
      </x:c>
      <x:c r="E133" s="22" t="n">
        <x:f>Base_Costos!J133</x:f>
        <x:v>20700</x:v>
      </x:c>
      <x:c r="F133" s="22" t="n">
        <x:f>Base_Costos!K133</x:f>
        <x:v>19700</x:v>
      </x:c>
      <x:c r="G133" s="21" t="n">
        <x:f>Base_Costos!O133</x:f>
        <x:v>58</x:v>
      </x:c>
      <x:c r="H133" s="21" t="str">
        <x:f>Base_Costos!N133</x:f>
        <x:v>OK</x:v>
      </x:c>
    </x:row>
    <x:row r="134">
      <x:c r="A134" s="21" t="str">
        <x:f>Base_Costos!B134</x:f>
        <x:v>Jardinería / Camping / Exterior</x:v>
      </x:c>
      <x:c r="B134" s="21" t="str">
        <x:f>Base_Costos!C134</x:f>
        <x:v>TTL420-8N</x:v>
      </x:c>
      <x:c r="C134" s="21" t="str">
        <x:f>Base_Costos!D134</x:f>
        <x:v>TAZA TERMICA NEGRO 420 ML CON TAPA</x:v>
      </x:c>
      <x:c r="D134" s="21" t="str">
        <x:f>Base_Costos!E134</x:f>
        <x:v>Producto Lusqtoff para uso profesional, taller, hogar o mantenimiento. Consultar disponibilidad y garantía oficial.</x:v>
      </x:c>
      <x:c r="E134" s="22" t="n">
        <x:f>Base_Costos!J134</x:f>
        <x:v>20700</x:v>
      </x:c>
      <x:c r="F134" s="22" t="n">
        <x:f>Base_Costos!K134</x:f>
        <x:v>19700</x:v>
      </x:c>
      <x:c r="G134" s="21" t="n">
        <x:f>Base_Costos!O134</x:f>
        <x:v>58</x:v>
      </x:c>
      <x:c r="H134" s="21" t="str">
        <x:f>Base_Costos!N134</x:f>
        <x:v>Revisar OCR</x:v>
      </x:c>
    </x:row>
    <x:row r="135">
      <x:c r="A135" s="21" t="str">
        <x:f>Base_Costos!B135</x:f>
        <x:v>Jardinería / Camping / Exterior</x:v>
      </x:c>
      <x:c r="B135" s="21" t="str">
        <x:f>Base_Costos!C135</x:f>
        <x:v>TLI-9NJ</x:v>
      </x:c>
      <x:c r="C135" s="21" t="str">
        <x:f>Base_Costos!D135</x:f>
        <x:v>TERMO NARANJA 1LTS</x:v>
      </x:c>
      <x:c r="D135" s="21" t="str">
        <x:f>Base_Costos!E135</x:f>
        <x:v>Producto para jardín, camping y exterior. Recomendado para mantenimiento de espacios verdes, uso recreativo y tareas outdoor.</x:v>
      </x:c>
      <x:c r="E135" s="22" t="n">
        <x:f>Base_Costos!J135</x:f>
        <x:v>40500</x:v>
      </x:c>
      <x:c r="F135" s="22" t="n">
        <x:f>Base_Costos!K135</x:f>
        <x:v>38500</x:v>
      </x:c>
      <x:c r="G135" s="21" t="n">
        <x:f>Base_Costos!O135</x:f>
        <x:v>58</x:v>
      </x:c>
      <x:c r="H135" s="21" t="str">
        <x:f>Base_Costos!N135</x:f>
        <x:v>OK</x:v>
      </x:c>
    </x:row>
    <x:row r="136">
      <x:c r="A136" s="21" t="str">
        <x:f>Base_Costos!B136</x:f>
        <x:v>Accesorios / Consumibles</x:v>
      </x:c>
      <x:c r="B136" s="21" t="str">
        <x:f>Base_Costos!C136</x:f>
      </x:c>
      <x:c r="C136" s="21" t="str">
        <x:f>Base_Costos!D136</x:f>
        <x:v>Aceite lubricante ACLUD1000 X unidad</x:v>
      </x:c>
      <x:c r="D136" s="21" t="str">
        <x:f>Base_Costos!E136</x:f>
        <x:v>Consumible o accesorio complementario para reposición, mantenimiento y venta por rotación.</x:v>
      </x:c>
      <x:c r="E136" s="22" t="n">
        <x:f>Base_Costos!J136</x:f>
        <x:v>17900</x:v>
      </x:c>
      <x:c r="F136" s="22" t="n">
        <x:f>Base_Costos!K136</x:f>
        <x:v>17100</x:v>
      </x:c>
      <x:c r="G136" s="21" t="n">
        <x:f>Base_Costos!O136</x:f>
        <x:v>59</x:v>
      </x:c>
      <x:c r="H136" s="21" t="str">
        <x:f>Base_Costos!N136</x:f>
        <x:v>OK</x:v>
      </x:c>
    </x:row>
    <x:row r="137">
      <x:c r="A137" s="21" t="str">
        <x:f>Base_Costos!B137</x:f>
        <x:v>Accesorios / Consumibles</x:v>
      </x:c>
      <x:c r="B137" s="21" t="str">
        <x:f>Base_Costos!C137</x:f>
        <x:v>ACL40</x:v>
      </x:c>
      <x:c r="C137" s="21" t="str">
        <x:f>Base_Costos!D137</x:f>
        <x:v>LUBRICANTE MULTIPROPOSITO AEROSOL 415CC</x:v>
      </x:c>
      <x:c r="D137" s="21" t="str">
        <x:f>Base_Costos!E137</x:f>
        <x:v>Consumible o accesorio complementario para reposición, mantenimiento y venta por rotación.</x:v>
      </x:c>
      <x:c r="E137" s="22" t="n">
        <x:f>Base_Costos!J137</x:f>
        <x:v>7100</x:v>
      </x:c>
      <x:c r="F137" s="22" t="n">
        <x:f>Base_Costos!K137</x:f>
        <x:v>6800</x:v>
      </x:c>
      <x:c r="G137" s="21" t="n">
        <x:f>Base_Costos!O137</x:f>
        <x:v>59</x:v>
      </x:c>
      <x:c r="H137" s="21" t="str">
        <x:f>Base_Costos!N137</x:f>
        <x:v>OK</x:v>
      </x:c>
    </x:row>
    <x:row r="138">
      <x:c r="A138" s="21" t="str">
        <x:f>Base_Costos!B138</x:f>
        <x:v>Accesorios / Consumibles</x:v>
      </x:c>
      <x:c r="B138" s="21" t="str">
        <x:f>Base_Costos!C138</x:f>
        <x:v>DAL1151610</x:v>
      </x:c>
      <x:c r="C138" s="21" t="str">
        <x:f>Base_Costos!D138</x:f>
        <x:v>DISCOS ABRASIVO DE CORTE LATA X10 115*1,6</x:v>
      </x:c>
      <x:c r="D138" s="21" t="str">
        <x:f>Base_Costos!E138</x:f>
        <x:v>Producto orientado a corte, desbaste y terminación. Recomendado para metal, obra y mantenimiento general.</x:v>
      </x:c>
      <x:c r="E138" s="22" t="n">
        <x:f>Base_Costos!J138</x:f>
        <x:v>9000</x:v>
      </x:c>
      <x:c r="F138" s="22" t="n">
        <x:f>Base_Costos!K138</x:f>
        <x:v>8600</x:v>
      </x:c>
      <x:c r="G138" s="21" t="n">
        <x:f>Base_Costos!O138</x:f>
        <x:v>60</x:v>
      </x:c>
      <x:c r="H138" s="21" t="str">
        <x:f>Base_Costos!N138</x:f>
        <x:v>Revisar OCR</x:v>
      </x:c>
    </x:row>
    <x:row r="139">
      <x:c r="A139" s="21" t="str">
        <x:f>Base_Costos!B139</x:f>
        <x:v>Accesorios / Consumibles</x:v>
      </x:c>
      <x:c r="B139" s="21" t="str">
        <x:f>Base_Costos!C139</x:f>
        <x:v>DAL1151250</x:v>
      </x:c>
      <x:c r="C139" s="21" t="str">
        <x:f>Base_Costos!D139</x:f>
        <x:v>DISCOS ABRASIVO DE CORTE LATA X50 115*1,2</x:v>
      </x:c>
      <x:c r="D139" s="21" t="str">
        <x:f>Base_Costos!E139</x:f>
        <x:v>Producto orientado a corte, desbaste y terminación. Recomendado para metal, obra y mantenimiento general.</x:v>
      </x:c>
      <x:c r="E139" s="22" t="n">
        <x:f>Base_Costos!J139</x:f>
        <x:v>39300</x:v>
      </x:c>
      <x:c r="F139" s="22" t="n">
        <x:f>Base_Costos!K139</x:f>
        <x:v>37400</x:v>
      </x:c>
      <x:c r="G139" s="21" t="n">
        <x:f>Base_Costos!O139</x:f>
        <x:v>60</x:v>
      </x:c>
      <x:c r="H139" s="21" t="str">
        <x:f>Base_Costos!N139</x:f>
        <x:v>Revisar OCR</x:v>
      </x:c>
    </x:row>
    <x:row r="140">
      <x:c r="A140" s="21" t="str">
        <x:f>Base_Costos!B140</x:f>
        <x:v>Accesorios / Consumibles</x:v>
      </x:c>
      <x:c r="B140" s="21" t="str">
        <x:f>Base_Costos!C140</x:f>
        <x:v>COR100-9</x:v>
      </x:c>
      <x:c r="C140" s="21" t="str">
        <x:f>Base_Costos!D140</x:f>
        <x:v>cepillo copa risado 100mm.</x:v>
      </x:c>
      <x:c r="D140" s="21" t="str">
        <x:f>Base_Costos!E140</x:f>
        <x:v>Producto Lusqtoff para uso profesional, taller, hogar o mantenimiento. Consultar disponibilidad y garantía oficial.</x:v>
      </x:c>
      <x:c r="E140" s="22" t="n">
        <x:f>Base_Costos!J140</x:f>
        <x:v>7700</x:v>
      </x:c>
      <x:c r="F140" s="22" t="n">
        <x:f>Base_Costos!K140</x:f>
        <x:v>7400</x:v>
      </x:c>
      <x:c r="G140" s="21" t="n">
        <x:f>Base_Costos!O140</x:f>
        <x:v>60</x:v>
      </x:c>
      <x:c r="H140" s="21" t="str">
        <x:f>Base_Costos!N140</x:f>
        <x:v>OK</x:v>
      </x:c>
    </x:row>
    <x:row r="141">
      <x:c r="A141" s="21" t="str">
        <x:f>Base_Costos!B141</x:f>
        <x:v>Accesorios / Consumibles</x:v>
      </x:c>
      <x:c r="B141" s="21" t="str">
        <x:f>Base_Costos!C141</x:f>
        <x:v>DAL1151650</x:v>
      </x:c>
      <x:c r="C141" s="21" t="str">
        <x:f>Base_Costos!D141</x:f>
        <x:v>DISCOS ABRASIVO DE CORTE LATA X50 115*1,6</x:v>
      </x:c>
      <x:c r="D141" s="21" t="str">
        <x:f>Base_Costos!E141</x:f>
        <x:v>Producto orientado a corte, desbaste y terminación. Recomendado para metal, obra y mantenimiento general.</x:v>
      </x:c>
      <x:c r="E141" s="22" t="n">
        <x:f>Base_Costos!J141</x:f>
        <x:v>38400</x:v>
      </x:c>
      <x:c r="F141" s="22" t="n">
        <x:f>Base_Costos!K141</x:f>
        <x:v>36500</x:v>
      </x:c>
      <x:c r="G141" s="21" t="n">
        <x:f>Base_Costos!O141</x:f>
        <x:v>61</x:v>
      </x:c>
      <x:c r="H141" s="21" t="str">
        <x:f>Base_Costos!N141</x:f>
        <x:v>Revisar OCR</x:v>
      </x:c>
    </x:row>
    <x:row r="142">
      <x:c r="A142" s="21" t="str">
        <x:f>Base_Costos!B142</x:f>
        <x:v>Accesorios / Consumibles</x:v>
      </x:c>
      <x:c r="B142" s="21" t="str">
        <x:f>Base_Costos!C142</x:f>
        <x:v>DDS2301-9</x:v>
      </x:c>
      <x:c r="C142" s="21" t="str">
        <x:f>Base_Costos!D142</x:f>
        <x:v>Disco diamantado segmentado 230mm,</x:v>
      </x:c>
      <x:c r="D142" s="21" t="str">
        <x:f>Base_Costos!E142</x:f>
        <x:v>Producto orientado a corte, desbaste y terminación. Recomendado para metal, obra y mantenimiento general.</x:v>
      </x:c>
      <x:c r="E142" s="22" t="n">
        <x:f>Base_Costos!J142</x:f>
        <x:v>3000</x:v>
      </x:c>
      <x:c r="F142" s="22" t="n">
        <x:f>Base_Costos!K142</x:f>
        <x:v>2900</x:v>
      </x:c>
      <x:c r="G142" s="21" t="n">
        <x:f>Base_Costos!O142</x:f>
        <x:v>61</x:v>
      </x:c>
      <x:c r="H142" s="21" t="str">
        <x:f>Base_Costos!N142</x:f>
        <x:v>Revisar OCR</x:v>
      </x:c>
    </x:row>
    <x:row r="143">
      <x:c r="A143" s="21" t="str">
        <x:f>Base_Costos!B143</x:f>
        <x:v>Accesorios / Consumibles</x:v>
      </x:c>
      <x:c r="B143" s="21" t="str">
        <x:f>Base_Costos!C143</x:f>
        <x:v>DDST15-9</x:v>
      </x:c>
      <x:c r="C143" s="21" t="str">
        <x:f>Base_Costos!D143</x:f>
        <x:v>disco diamantado segmentado 115mm.</x:v>
      </x:c>
      <x:c r="D143" s="21" t="str">
        <x:f>Base_Costos!E143</x:f>
        <x:v>Producto orientado a corte, desbaste y terminación. Recomendado para metal, obra y mantenimiento general.</x:v>
      </x:c>
      <x:c r="E143" s="22" t="n">
        <x:f>Base_Costos!J143</x:f>
        <x:v>6500</x:v>
      </x:c>
      <x:c r="F143" s="22" t="n">
        <x:f>Base_Costos!K143</x:f>
        <x:v>6200</x:v>
      </x:c>
      <x:c r="G143" s="21" t="n">
        <x:f>Base_Costos!O143</x:f>
        <x:v>61</x:v>
      </x:c>
      <x:c r="H143" s="21" t="str">
        <x:f>Base_Costos!N143</x:f>
        <x:v>OK</x:v>
      </x:c>
    </x:row>
    <x:row r="144">
      <x:c r="A144" s="21" t="str">
        <x:f>Base_Costos!B144</x:f>
        <x:v>Accesorios / Consumibles</x:v>
      </x:c>
      <x:c r="B144" s="21" t="str">
        <x:f>Base_Costos!C144</x:f>
        <x:v>DMP115-9</x:v>
      </x:c>
      <x:c r="C144" s="21" t="str">
        <x:f>Base_Costos!D144</x:f>
        <x:v>DISCO DE CORTE MULTIPROPOSITO 115MM</x:v>
      </x:c>
      <x:c r="D144" s="21" t="str">
        <x:f>Base_Costos!E144</x:f>
        <x:v>Producto orientado a corte, desbaste y terminación. Recomendado para metal, obra y mantenimiento general.</x:v>
      </x:c>
      <x:c r="E144" s="22" t="n">
        <x:f>Base_Costos!J144</x:f>
        <x:v>7900</x:v>
      </x:c>
      <x:c r="F144" s="22" t="n">
        <x:f>Base_Costos!K144</x:f>
        <x:v>7600</x:v>
      </x:c>
      <x:c r="G144" s="21" t="n">
        <x:f>Base_Costos!O144</x:f>
        <x:v>62</x:v>
      </x:c>
      <x:c r="H144" s="21" t="str">
        <x:f>Base_Costos!N144</x:f>
        <x:v>OK</x:v>
      </x:c>
    </x:row>
    <x:row r="145">
      <x:c r="A145" s="21" t="str">
        <x:f>Base_Costos!B145</x:f>
        <x:v>Accesorios / Consumibles</x:v>
      </x:c>
      <x:c r="B145" s="21" t="str">
        <x:f>Base_Costos!C145</x:f>
        <x:v>DMS115-9</x:v>
      </x:c>
      <x:c r="C145" s="21" t="str">
        <x:f>Base_Costos!D145</x:f>
        <x:v>DISCO DE CORTE PARA MADERA 115MM X10 UNIDADES</x:v>
      </x:c>
      <x:c r="D145" s="21" t="str">
        <x:f>Base_Costos!E145</x:f>
        <x:v>Producto orientado a corte, desbaste y terminación. Recomendado para metal, obra y mantenimiento general.</x:v>
      </x:c>
      <x:c r="E145" s="22" t="n">
        <x:f>Base_Costos!J145</x:f>
        <x:v>7000</x:v>
      </x:c>
      <x:c r="F145" s="22" t="n">
        <x:f>Base_Costos!K145</x:f>
        <x:v>6700</x:v>
      </x:c>
      <x:c r="G145" s="21" t="n">
        <x:f>Base_Costos!O145</x:f>
        <x:v>62</x:v>
      </x:c>
      <x:c r="H145" s="21" t="str">
        <x:f>Base_Costos!N145</x:f>
        <x:v>OK</x:v>
      </x:c>
    </x:row>
    <x:row r="146">
      <x:c r="A146" s="21" t="str">
        <x:f>Base_Costos!B146</x:f>
        <x:v>Accesorios / Consumibles</x:v>
      </x:c>
      <x:c r="B146" s="21" t="str">
        <x:f>Base_Costos!C146</x:f>
        <x:v>DDT115P-9</x:v>
      </x:c>
      <x:c r="C146" s="21" t="str">
        <x:f>Base_Costos!D146</x:f>
        <x:v>DISCO DIAMANTADO TURBO FINO 115mm X10 U NIDADES</x:v>
      </x:c>
      <x:c r="D146" s="21" t="str">
        <x:f>Base_Costos!E146</x:f>
        <x:v>Producto orientado a corte, desbaste y terminación. Recomendado para metal, obra y mantenimiento general.</x:v>
      </x:c>
      <x:c r="E146" s="22" t="n">
        <x:f>Base_Costos!J146</x:f>
        <x:v>8400</x:v>
      </x:c>
      <x:c r="F146" s="22" t="n">
        <x:f>Base_Costos!K146</x:f>
        <x:v>8000</x:v>
      </x:c>
      <x:c r="G146" s="21" t="n">
        <x:f>Base_Costos!O146</x:f>
        <x:v>62</x:v>
      </x:c>
      <x:c r="H146" s="21" t="str">
        <x:f>Base_Costos!N146</x:f>
        <x:v>OK</x:v>
      </x:c>
    </x:row>
    <x:row r="147">
      <x:c r="A147" s="21" t="str">
        <x:f>Base_Costos!B147</x:f>
        <x:v>Accesorios / Consumibles</x:v>
      </x:c>
      <x:c r="B147" s="21" t="str">
        <x:f>Base_Costos!C147</x:f>
        <x:v>LQFLAP60</x:v>
      </x:c>
      <x:c r="C147" s="21" t="str">
        <x:f>Base_Costos!D147</x:f>
        <x:v>Disco Flap GR60 Zirconio</x:v>
      </x:c>
      <x:c r="D147" s="21" t="str">
        <x:f>Base_Costos!E147</x:f>
        <x:v>Producto orientado a corte, desbaste y terminación. Recomendado para metal, obra y mantenimiento general.</x:v>
      </x:c>
      <x:c r="E147" s="22" t="n">
        <x:f>Base_Costos!J147</x:f>
        <x:v>2400</x:v>
      </x:c>
      <x:c r="F147" s="22" t="n">
        <x:f>Base_Costos!K147</x:f>
        <x:v>2300</x:v>
      </x:c>
      <x:c r="G147" s="21" t="n">
        <x:f>Base_Costos!O147</x:f>
        <x:v>63</x:v>
      </x:c>
      <x:c r="H147" s="21" t="str">
        <x:f>Base_Costos!N147</x:f>
        <x:v>Revisar OCR</x:v>
      </x:c>
    </x:row>
    <x:row r="148">
      <x:c r="A148" s="21" t="str">
        <x:f>Base_Costos!B148</x:f>
        <x:v>Accesorios / Consumibles</x:v>
      </x:c>
      <x:c r="B148" s="21" t="str">
        <x:f>Base_Costos!C148</x:f>
        <x:v>DVC115-9</x:v>
      </x:c>
      <x:c r="C148" s="21" t="str">
        <x:f>Base_Costos!D148</x:f>
        <x:v>Disco de Corte para Vidrio</x:v>
      </x:c>
      <x:c r="D148" s="21" t="str">
        <x:f>Base_Costos!E148</x:f>
        <x:v>Producto orientado a corte, desbaste y terminación. Recomendado para metal, obra y mantenimiento general.</x:v>
      </x:c>
      <x:c r="E148" s="22" t="n">
        <x:f>Base_Costos!J148</x:f>
        <x:v>7900</x:v>
      </x:c>
      <x:c r="F148" s="22" t="n">
        <x:f>Base_Costos!K148</x:f>
        <x:v>7600</x:v>
      </x:c>
      <x:c r="G148" s="21" t="n">
        <x:f>Base_Costos!O148</x:f>
        <x:v>63</x:v>
      </x:c>
      <x:c r="H148" s="21" t="str">
        <x:f>Base_Costos!N148</x:f>
        <x:v>OK</x:v>
      </x:c>
    </x:row>
    <x:row r="149">
      <x:c r="A149" s="21" t="str">
        <x:f>Base_Costos!B149</x:f>
        <x:v>Accesorios / Consumibles</x:v>
      </x:c>
      <x:c r="B149" s="21" t="str">
        <x:f>Base_Costos!C149</x:f>
        <x:v>EEPGP500</x:v>
      </x:c>
      <x:c r="C149" s="21" t="str">
        <x:f>Base_Costos!D149</x:f>
        <x:v>ESPUMA DE POLIURETANO 500ML GARDEN PLU SCAJA X12</x:v>
      </x:c>
      <x:c r="D149" s="21" t="str">
        <x:f>Base_Costos!E149</x:f>
        <x:v>Herramienta o conjunto para organización y trabajo de taller. Producto práctico para mecánica, mantenimiento y uso profesional.</x:v>
      </x:c>
      <x:c r="E149" s="22" t="n">
        <x:f>Base_Costos!J149</x:f>
        <x:v>87000</x:v>
      </x:c>
      <x:c r="F149" s="22" t="n">
        <x:f>Base_Costos!K149</x:f>
        <x:v>82700</x:v>
      </x:c>
      <x:c r="G149" s="21" t="n">
        <x:f>Base_Costos!O149</x:f>
        <x:v>63</x:v>
      </x:c>
      <x:c r="H149" s="21" t="str">
        <x:f>Base_Costos!N149</x:f>
        <x:v>Revisar OCR</x:v>
      </x:c>
    </x:row>
    <x:row r="150">
      <x:c r="A150" s="21" t="str">
        <x:f>Base_Costos!B150</x:f>
        <x:v>Accesorios / Consumibles</x:v>
      </x:c>
      <x:c r="B150" s="21" t="str">
        <x:f>Base_Costos!C150</x:f>
        <x:v>EEPGP750</x:v>
      </x:c>
      <x:c r="C150" s="21" t="str">
        <x:f>Base_Costos!D150</x:f>
        <x:v>ESPUMA DE POLIURETANO 750ML GARDEN PLUS CAJA X12</x:v>
      </x:c>
      <x:c r="D150" s="21" t="str">
        <x:f>Base_Costos!E150</x:f>
        <x:v>Herramienta o conjunto para organización y trabajo de taller. Producto práctico para mecánica, mantenimiento y uso profesional.</x:v>
      </x:c>
      <x:c r="E150" s="22" t="n">
        <x:f>Base_Costos!J150</x:f>
        <x:v>111800</x:v>
      </x:c>
      <x:c r="F150" s="22" t="n">
        <x:f>Base_Costos!K150</x:f>
        <x:v>106300</x:v>
      </x:c>
      <x:c r="G150" s="21" t="n">
        <x:f>Base_Costos!O150</x:f>
        <x:v>64</x:v>
      </x:c>
      <x:c r="H150" s="21" t="str">
        <x:f>Base_Costos!N150</x:f>
        <x:v>Revisar OCR</x:v>
      </x:c>
    </x:row>
    <x:row r="151">
      <x:c r="A151" s="21" t="str">
        <x:f>Base_Costos!B151</x:f>
        <x:v>Accesorios / Consumibles</x:v>
      </x:c>
      <x:c r="B151" s="21" t="str">
        <x:f>Base_Costos!C151</x:f>
      </x:c>
      <x:c r="C151" s="21" t="str">
        <x:f>Base_Costos!D151</x:f>
        <x:v>ESPUMA EXPANSIVA BRIXTER 300ML (Caja 12 unidades)</x:v>
      </x:c>
      <x:c r="D151" s="21" t="str">
        <x:f>Base_Costos!E151</x:f>
        <x:v>Herramienta o conjunto para organización y trabajo de taller. Producto práctico para mecánica, mantenimiento y uso profesional.</x:v>
      </x:c>
      <x:c r="E151" s="22" t="n">
        <x:f>Base_Costos!J151</x:f>
        <x:v>5000</x:v>
      </x:c>
      <x:c r="F151" s="22" t="n">
        <x:f>Base_Costos!K151</x:f>
        <x:v>4800</x:v>
      </x:c>
      <x:c r="G151" s="21" t="n">
        <x:f>Base_Costos!O151</x:f>
        <x:v>64</x:v>
      </x:c>
      <x:c r="H151" s="21" t="str">
        <x:f>Base_Costos!N151</x:f>
        <x:v>OK</x:v>
      </x:c>
    </x:row>
    <x:row r="152">
      <x:c r="A152" s="21" t="str">
        <x:f>Base_Costos!B152</x:f>
        <x:v>Accesorios / Consumibles</x:v>
      </x:c>
      <x:c r="B152" s="21" t="str">
        <x:f>Base_Costos!C152</x:f>
        <x:v>TR240L-9</x:v>
      </x:c>
      <x:c r="C152" s="21" t="str">
        <x:f>Base_Costos!D152</x:f>
        <x:v>TANZA AMARILLA PERFIL REDONDO 2.4mm,</x:v>
      </x:c>
      <x:c r="D152" s="21" t="str">
        <x:f>Base_Costos!E152</x:f>
        <x:v>Consumible o accesorio complementario para reposición, mantenimiento y venta por rotación.</x:v>
      </x:c>
      <x:c r="E152" s="22" t="n">
        <x:f>Base_Costos!J152</x:f>
        <x:v>30100</x:v>
      </x:c>
      <x:c r="F152" s="22" t="n">
        <x:f>Base_Costos!K152</x:f>
        <x:v>28600</x:v>
      </x:c>
      <x:c r="G152" s="21" t="n">
        <x:f>Base_Costos!O152</x:f>
        <x:v>64</x:v>
      </x:c>
      <x:c r="H152" s="21" t="str">
        <x:f>Base_Costos!N152</x:f>
        <x:v>Revisar OCR</x:v>
      </x:c>
    </x:row>
    <x:row r="153">
      <x:c r="A153" s="21" t="str">
        <x:f>Base_Costos!B153</x:f>
        <x:v>Accesorios / Consumibles</x:v>
      </x:c>
      <x:c r="B153" s="21" t="str">
        <x:f>Base_Costos!C153</x:f>
        <x:v>BSBI840-9</x:v>
      </x:c>
      <x:c r="C153" s="21" t="str">
        <x:f>Base_Costos!D153</x:f>
        <x:v>Batería 4A,</x:v>
      </x:c>
      <x:c r="D153" s="21" t="str">
        <x:f>Base_Costos!E153</x:f>
        <x:v>Producto Lusqtoff para uso profesional, taller, hogar o mantenimiento. Consultar disponibilidad y garantía oficial.</x:v>
      </x:c>
      <x:c r="E153" s="22" t="n">
        <x:f>Base_Costos!J153</x:f>
        <x:v>84000</x:v>
      </x:c>
      <x:c r="F153" s="22" t="n">
        <x:f>Base_Costos!K153</x:f>
        <x:v>79800</x:v>
      </x:c>
      <x:c r="G153" s="21" t="n">
        <x:f>Base_Costos!O153</x:f>
        <x:v>65</x:v>
      </x:c>
      <x:c r="H153" s="21" t="str">
        <x:f>Base_Costos!N153</x:f>
        <x:v>OK</x:v>
      </x:c>
    </x:row>
    <x:row r="154">
      <x:c r="A154" s="21" t="str">
        <x:f>Base_Costos!B154</x:f>
        <x:v>Accesorios / Consumibles</x:v>
      </x:c>
      <x:c r="B154" s="21" t="str">
        <x:f>Base_Costos!C154</x:f>
      </x:c>
      <x:c r="C154" s="21" t="str">
        <x:f>Base_Costos!D154</x:f>
        <x:v>GORRA LUSQTOFF</x:v>
      </x:c>
      <x:c r="D154" s="21" t="str">
        <x:f>Base_Costos!E154</x:f>
        <x:v>Consumible o accesorio complementario para reposición, mantenimiento y venta por rotación.</x:v>
      </x:c>
      <x:c r="E154" s="22" t="n">
        <x:f>Base_Costos!J154</x:f>
        <x:v>19800</x:v>
      </x:c>
      <x:c r="F154" s="22" t="n">
        <x:f>Base_Costos!K154</x:f>
        <x:v>18900</x:v>
      </x:c>
      <x:c r="G154" s="21" t="n">
        <x:f>Base_Costos!O154</x:f>
        <x:v>65</x:v>
      </x:c>
      <x:c r="H154" s="21" t="str">
        <x:f>Base_Costos!N154</x:f>
        <x:v>OK</x:v>
      </x:c>
    </x:row>
    <x:row r="155">
      <x:c r="A155" s="21" t="str">
        <x:f>Base_Costos!B155</x:f>
        <x:v>Accesorios / Consumibles</x:v>
      </x:c>
      <x:c r="B155" s="21" t="str">
        <x:f>Base_Costos!C155</x:f>
        <x:v>SIALTIO-8</x:v>
      </x:c>
      <x:c r="C155" s="21" t="str">
        <x:f>Base_Costos!D155</x:f>
        <x:v>SILICONA ACETICA X10 UNIDADES</x:v>
      </x:c>
      <x:c r="D155" s="21" t="str">
        <x:f>Base_Costos!E155</x:f>
        <x:v>Consumible o accesorio complementario para reposición, mantenimiento y venta por rotación.</x:v>
      </x:c>
      <x:c r="E155" s="22" t="n">
        <x:f>Base_Costos!J155</x:f>
        <x:v>30800</x:v>
      </x:c>
      <x:c r="F155" s="22" t="n">
        <x:f>Base_Costos!K155</x:f>
        <x:v>29300</x:v>
      </x:c>
      <x:c r="G155" s="21" t="n">
        <x:f>Base_Costos!O155</x:f>
        <x:v>65</x:v>
      </x:c>
      <x:c r="H155" s="21" t="str">
        <x:f>Base_Costos!N155</x:f>
        <x:v>OK</x:v>
      </x:c>
    </x:row>
    <x:row r="156">
      <x:c r="A156" s="21" t="str">
        <x:f>Base_Costos!B156</x:f>
        <x:v>Accesorios / Consumibles</x:v>
      </x:c>
      <x:c r="B156" s="21" t="str">
        <x:f>Base_Costos!C156</x:f>
        <x:v>11412</x:v>
      </x:c>
      <x:c r="C156" s="21" t="str">
        <x:f>Base_Costos!D156</x:f>
        <x:v>CINTA AMARRE CRIQUE 700KG x4u LUSQTOFF</x:v>
      </x:c>
      <x:c r="D156" s="21" t="str">
        <x:f>Base_Costos!E156</x:f>
        <x:v>Consumible o accesorio complementario para reposición, mantenimiento y venta por rotación.</x:v>
      </x:c>
      <x:c r="E156" s="22" t="n">
        <x:f>Base_Costos!J156</x:f>
        <x:v>53200</x:v>
      </x:c>
      <x:c r="F156" s="22" t="n">
        <x:f>Base_Costos!K156</x:f>
        <x:v>50600</x:v>
      </x:c>
      <x:c r="G156" s="21" t="n">
        <x:f>Base_Costos!O156</x:f>
        <x:v>66</x:v>
      </x:c>
      <x:c r="H156" s="21" t="str">
        <x:f>Base_Costos!N156</x:f>
        <x:v>OK</x:v>
      </x:c>
    </x:row>
    <x:row r="157">
      <x:c r="A157" s="21" t="str">
        <x:f>Base_Costos!B157</x:f>
        <x:v>Generadores / Bomba de Agua</x:v>
      </x:c>
      <x:c r="B157" s="21" t="str">
        <x:f>Base_Costos!C157</x:f>
        <x:v>GP2500</x:v>
      </x:c>
      <x:c r="C157" s="21" t="str">
        <x:f>Base_Costos!D157</x:f>
        <x:v>GENERADOR NAFTERO 2500W GARDEN PLUS</x:v>
      </x:c>
      <x:c r="D157" s="21" t="str">
        <x:f>Base_Costos!E157</x:f>
        <x:v>Equipo de fuerza y abastecimiento. Recomendado para respaldo de energía, riego, desagote o trabajos en exterior.</x:v>
      </x:c>
      <x:c r="E157" s="22" t="n">
        <x:f>Base_Costos!J157</x:f>
        <x:v>436700</x:v>
      </x:c>
      <x:c r="F157" s="22" t="n">
        <x:f>Base_Costos!K157</x:f>
        <x:v>414900</x:v>
      </x:c>
      <x:c r="G157" s="21" t="n">
        <x:f>Base_Costos!O157</x:f>
        <x:v>67</x:v>
      </x:c>
      <x:c r="H157" s="21" t="str">
        <x:f>Base_Costos!N157</x:f>
        <x:v>OK</x:v>
      </x:c>
    </x:row>
    <x:row r="158">
      <x:c r="A158" s="21" t="str">
        <x:f>Base_Costos!B158</x:f>
        <x:v>Generadores / Bomba de Agua</x:v>
      </x:c>
      <x:c r="B158" s="21" t="str">
        <x:f>Base_Costos!C158</x:f>
        <x:v>CPMI58</x:v>
      </x:c>
      <x:c r="C158" s="21" t="str">
        <x:f>Base_Costos!D158</x:f>
        <x:v>BOMBA CENTRIFUGA</x:v>
      </x:c>
      <x:c r="D158" s="21" t="str">
        <x:f>Base_Costos!E158</x:f>
        <x:v>Equipo de fuerza y abastecimiento. Recomendado para respaldo de energía, riego, desagote o trabajos en exterior.</x:v>
      </x:c>
      <x:c r="E158" s="22" t="n">
        <x:f>Base_Costos!J158</x:f>
        <x:v>120500</x:v>
      </x:c>
      <x:c r="F158" s="22" t="n">
        <x:f>Base_Costos!K158</x:f>
        <x:v>114500</x:v>
      </x:c>
      <x:c r="G158" s="21" t="n">
        <x:f>Base_Costos!O158</x:f>
        <x:v>68</x:v>
      </x:c>
      <x:c r="H158" s="21" t="str">
        <x:f>Base_Costos!N158</x:f>
        <x:v>Revisar OCR</x:v>
      </x:c>
    </x:row>
    <x:row r="159">
      <x:c r="A159" s="21" t="str">
        <x:f>Base_Costos!B159</x:f>
        <x:v>Generadores / Bomba de Agua</x:v>
      </x:c>
      <x:c r="B159" s="21" t="str">
        <x:f>Base_Costos!C159</x:f>
        <x:v>CPM190T</x:v>
      </x:c>
      <x:c r="C159" s="21" t="str">
        <x:f>Base_Costos!D159</x:f>
        <x:v>BOMBA CENTRIFUGA 2HP TRIFASICA</x:v>
      </x:c>
      <x:c r="D159" s="21" t="str">
        <x:f>Base_Costos!E159</x:f>
        <x:v>Equipo de fuerza y abastecimiento. Recomendado para respaldo de energía, riego, desagote o trabajos en exterior.</x:v>
      </x:c>
      <x:c r="E159" s="22" t="n">
        <x:f>Base_Costos!J159</x:f>
        <x:v>420400</x:v>
      </x:c>
      <x:c r="F159" s="22" t="n">
        <x:f>Base_Costos!K159</x:f>
        <x:v>399400</x:v>
      </x:c>
      <x:c r="G159" s="21" t="n">
        <x:f>Base_Costos!O159</x:f>
        <x:v>68</x:v>
      </x:c>
      <x:c r="H159" s="21" t="str">
        <x:f>Base_Costos!N159</x:f>
        <x:v>Revisar OCR</x:v>
      </x:c>
    </x:row>
    <x:row r="160">
      <x:c r="A160" s="21" t="str">
        <x:f>Base_Costos!B160</x:f>
        <x:v>Generadores / Bomba de Agua</x:v>
      </x:c>
      <x:c r="B160" s="21" t="str">
        <x:f>Base_Costos!C160</x:f>
        <x:v>BP150G-7</x:v>
      </x:c>
      <x:c r="C160" s="21" t="str">
        <x:f>Base_Costos!D160</x:f>
        <x:v>BOMBA PERIFERICA 0,5 HP GARDEN PLUS</x:v>
      </x:c>
      <x:c r="D160" s="21" t="str">
        <x:f>Base_Costos!E160</x:f>
        <x:v>Equipo de fuerza y abastecimiento. Recomendado para respaldo de energía, riego, desagote o trabajos en exterior.</x:v>
      </x:c>
      <x:c r="E160" s="22" t="n">
        <x:f>Base_Costos!J160</x:f>
        <x:v>39200</x:v>
      </x:c>
      <x:c r="F160" s="22" t="n">
        <x:f>Base_Costos!K160</x:f>
        <x:v>37300</x:v>
      </x:c>
      <x:c r="G160" s="21" t="n">
        <x:f>Base_Costos!O160</x:f>
        <x:v>68</x:v>
      </x:c>
      <x:c r="H160" s="21" t="str">
        <x:f>Base_Costos!N160</x:f>
        <x:v>Revisar OCR</x:v>
      </x:c>
    </x:row>
    <x:row r="161">
      <x:c r="A161" s="21" t="str">
        <x:f>Base_Costos!B161</x:f>
        <x:v>Generadores / Bomba de Agua</x:v>
      </x:c>
      <x:c r="B161" s="21" t="str">
        <x:f>Base_Costos!C161</x:f>
        <x:v>LLP-250</x:v>
      </x:c>
      <x:c r="C161" s="21" t="str">
        <x:f>Base_Costos!D161</x:f>
        <x:v>BOMBA SUMERGIBLE 3 en1</x:v>
      </x:c>
      <x:c r="D161" s="21" t="str">
        <x:f>Base_Costos!E161</x:f>
        <x:v>Equipo de fuerza y abastecimiento. Recomendado para respaldo de energía, riego, desagote o trabajos en exterior.</x:v>
      </x:c>
      <x:c r="E161" s="22" t="n">
        <x:f>Base_Costos!J161</x:f>
        <x:v>89800</x:v>
      </x:c>
      <x:c r="F161" s="22" t="n">
        <x:f>Base_Costos!K161</x:f>
        <x:v>85400</x:v>
      </x:c>
      <x:c r="G161" s="21" t="n">
        <x:f>Base_Costos!O161</x:f>
        <x:v>69</x:v>
      </x:c>
      <x:c r="H161" s="21" t="str">
        <x:f>Base_Costos!N161</x:f>
        <x:v>OK</x:v>
      </x:c>
    </x:row>
    <x:row r="162">
      <x:c r="A162" s="21" t="str">
        <x:f>Base_Costos!B162</x:f>
        <x:v>Generadores / Bomba de Agua</x:v>
      </x:c>
      <x:c r="B162" s="21" t="str">
        <x:f>Base_Costos!C162</x:f>
        <x:v>LMB-20</x:v>
      </x:c>
      <x:c r="C162" s="21" t="str">
        <x:f>Base_Costos!D162</x:f>
        <x:v>MOTOBOMBA NAFTERA 2" 5SHP</x:v>
      </x:c>
      <x:c r="D162" s="21" t="str">
        <x:f>Base_Costos!E162</x:f>
        <x:v>Equipo de fuerza y abastecimiento. Recomendado para respaldo de energía, riego, desagote o trabajos en exterior.</x:v>
      </x:c>
      <x:c r="E162" s="22" t="n">
        <x:f>Base_Costos!J162</x:f>
        <x:v>401600</x:v>
      </x:c>
      <x:c r="F162" s="22" t="n">
        <x:f>Base_Costos!K162</x:f>
        <x:v>381600</x:v>
      </x:c>
      <x:c r="G162" s="21" t="n">
        <x:f>Base_Costos!O162</x:f>
        <x:v>69</x:v>
      </x:c>
      <x:c r="H162" s="21" t="str">
        <x:f>Base_Costos!N162</x:f>
        <x:v>OK</x:v>
      </x:c>
    </x:row>
    <x:row r="163">
      <x:c r="A163" s="21" t="str">
        <x:f>Base_Costos!B163</x:f>
        <x:v>Generadores / Bomba de Agua</x:v>
      </x:c>
      <x:c r="B163" s="21" t="str">
        <x:f>Base_Costos!C163</x:f>
        <x:v>MPS-1</x:v>
      </x:c>
      <x:c r="C163" s="21" t="str">
        <x:f>Base_Costos!D163</x:f>
        <x:v>REGULADOR AUTOMATICO DE PRESION</x:v>
      </x:c>
      <x:c r="D163" s="21" t="str">
        <x:f>Base_Costos!E163</x:f>
        <x:v>Producto para cuidado automotor, detailing y mantenimiento. Ideal para limpieza, energía auxiliar y uso de taller.</x:v>
      </x:c>
      <x:c r="E163" s="22" t="n">
        <x:f>Base_Costos!J163</x:f>
        <x:v>52000</x:v>
      </x:c>
      <x:c r="F163" s="22" t="n">
        <x:f>Base_Costos!K163</x:f>
        <x:v>49400</x:v>
      </x:c>
      <x:c r="G163" s="21" t="n">
        <x:f>Base_Costos!O163</x:f>
        <x:v>69</x:v>
      </x:c>
      <x:c r="H163" s="21" t="str">
        <x:f>Base_Costos!N163</x:f>
        <x:v>OK</x:v>
      </x:c>
    </x:row>
    <x:row r="164">
      <x:c r="A164" s="21" t="str">
        <x:f>Base_Costos!B164</x:f>
        <x:v>Estética y Accesorios Automotor</x:v>
      </x:c>
      <x:c r="B164" s="21" t="str">
        <x:f>Base_Costos!C164</x:f>
        <x:v>PB-100</x:v>
      </x:c>
      <x:c r="C164" s="21" t="str">
        <x:f>Base_Costos!D164</x:f>
        <x:v>Cargador Portatil Arrancador Celular</x:v>
      </x:c>
      <x:c r="D164" s="21" t="str">
        <x:f>Base_Costos!E164</x:f>
        <x:v>Producto para cuidado automotor, detailing y mantenimiento. Ideal para limpieza, energía auxiliar y uso de taller.</x:v>
      </x:c>
      <x:c r="E164" s="22" t="n">
        <x:f>Base_Costos!J164</x:f>
        <x:v>135000</x:v>
      </x:c>
      <x:c r="F164" s="22" t="n">
        <x:f>Base_Costos!K164</x:f>
        <x:v>128300</x:v>
      </x:c>
      <x:c r="G164" s="21" t="n">
        <x:f>Base_Costos!O164</x:f>
        <x:v>70</x:v>
      </x:c>
      <x:c r="H164" s="21" t="str">
        <x:f>Base_Costos!N164</x:f>
        <x:v>OK</x:v>
      </x:c>
    </x:row>
    <x:row r="165">
      <x:c r="A165" s="21" t="str">
        <x:f>Base_Costos!B165</x:f>
        <x:v>Estética y Accesorios Automotor</x:v>
      </x:c>
      <x:c r="B165" s="21" t="str">
        <x:f>Base_Costos!C165</x:f>
        <x:v>LCC-20</x:v>
      </x:c>
      <x:c r="C165" s="21" t="str">
        <x:f>Base_Costos!D165</x:f>
        <x:v>CARGADOR BATERIA 20A 12V</x:v>
      </x:c>
      <x:c r="D165" s="21" t="str">
        <x:f>Base_Costos!E165</x:f>
        <x:v>Producto para cuidado automotor, detailing y mantenimiento. Ideal para limpieza, energía auxiliar y uso de taller.</x:v>
      </x:c>
      <x:c r="E165" s="22" t="n">
        <x:f>Base_Costos!J165</x:f>
        <x:v>189900</x:v>
      </x:c>
      <x:c r="F165" s="22" t="n">
        <x:f>Base_Costos!K165</x:f>
        <x:v>180500</x:v>
      </x:c>
      <x:c r="G165" s="21" t="n">
        <x:f>Base_Costos!O165</x:f>
        <x:v>71</x:v>
      </x:c>
      <x:c r="H165" s="21" t="str">
        <x:f>Base_Costos!N165</x:f>
        <x:v>OK</x:v>
      </x:c>
    </x:row>
    <x:row r="166">
      <x:c r="A166" s="21" t="str">
        <x:f>Base_Costos!B166</x:f>
        <x:v>Estética y Accesorios Automotor</x:v>
      </x:c>
      <x:c r="B166" s="21" t="str">
        <x:f>Base_Costos!C166</x:f>
        <x:v>LCR-40</x:v>
      </x:c>
      <x:c r="C166" s="21" t="str">
        <x:f>Base_Costos!D166</x:f>
        <x:v>CARGADOR DE BATERIA 12V LUSQTOFF</x:v>
      </x:c>
      <x:c r="D166" s="21" t="str">
        <x:f>Base_Costos!E166</x:f>
        <x:v>Producto Lusqtoff para uso profesional, taller, hogar o mantenimiento. Consultar disponibilidad y garantía oficial.</x:v>
      </x:c>
      <x:c r="E166" s="22" t="n">
        <x:f>Base_Costos!J166</x:f>
        <x:v>271200</x:v>
      </x:c>
      <x:c r="F166" s="22" t="n">
        <x:f>Base_Costos!K166</x:f>
        <x:v>257700</x:v>
      </x:c>
      <x:c r="G166" s="21" t="n">
        <x:f>Base_Costos!O166</x:f>
        <x:v>71</x:v>
      </x:c>
      <x:c r="H166" s="21" t="str">
        <x:f>Base_Costos!N166</x:f>
        <x:v>Revisar OCR</x:v>
      </x:c>
    </x:row>
    <x:row r="167">
      <x:c r="A167" s="21" t="str">
        <x:f>Base_Costos!B167</x:f>
        <x:v>Estética y Accesorios Automotor</x:v>
      </x:c>
      <x:c r="B167" s="21" t="str">
        <x:f>Base_Costos!C167</x:f>
        <x:v>MCLI50-8</x:v>
      </x:c>
      <x:c r="C167" s="21" t="str">
        <x:f>Base_Costos!D167</x:f>
        <x:v>MINI COMPRESOR 12V 150psi</x:v>
      </x:c>
      <x:c r="D167" s="21" t="str">
        <x:f>Base_Costos!E167</x:f>
        <x:v>Equipo y accesorios para aire comprimido. Ideal para inflado, pintura, limpieza, herramientas neumáticas y uso de taller.</x:v>
      </x:c>
      <x:c r="E167" s="22" t="n">
        <x:f>Base_Costos!J167</x:f>
        <x:v>92200</x:v>
      </x:c>
      <x:c r="F167" s="22" t="n">
        <x:f>Base_Costos!K167</x:f>
        <x:v>87600</x:v>
      </x:c>
      <x:c r="G167" s="21" t="n">
        <x:f>Base_Costos!O167</x:f>
        <x:v>71</x:v>
      </x:c>
      <x:c r="H167" s="21" t="str">
        <x:f>Base_Costos!N167</x:f>
        <x:v>Revisar OCR</x:v>
      </x:c>
    </x:row>
    <x:row r="168">
      <x:c r="A168" s="21" t="str">
        <x:f>Base_Costos!B168</x:f>
        <x:v>Estética y Accesorios Automotor</x:v>
      </x:c>
      <x:c r="B168" s="21" t="str">
        <x:f>Base_Costos!C168</x:f>
        <x:v>AIISOL-8K</x:v>
      </x:c>
      <x:c r="C168" s="21" t="str">
        <x:f>Base_Costos!D168</x:f>
        <x:v>ARRANCADOR INFLADOR PORTATIL</x:v>
      </x:c>
      <x:c r="D168" s="21" t="str">
        <x:f>Base_Costos!E168</x:f>
        <x:v>Producto para cuidado automotor, detailing y mantenimiento. Ideal para limpieza, energía auxiliar y uso de taller.</x:v>
      </x:c>
      <x:c r="E168" s="22" t="n">
        <x:f>Base_Costos!J168</x:f>
        <x:v>251500</x:v>
      </x:c>
      <x:c r="F168" s="22" t="n">
        <x:f>Base_Costos!K168</x:f>
        <x:v>239000</x:v>
      </x:c>
      <x:c r="G168" s="21" t="n">
        <x:f>Base_Costos!O168</x:f>
        <x:v>72</x:v>
      </x:c>
      <x:c r="H168" s="21" t="str">
        <x:f>Base_Costos!N168</x:f>
        <x:v>OK</x:v>
      </x:c>
    </x:row>
    <x:row r="169">
      <x:c r="A169" s="21" t="str">
        <x:f>Base_Costos!B169</x:f>
        <x:v>Estética y Accesorios Automotor</x:v>
      </x:c>
      <x:c r="B169" s="21" t="str">
        <x:f>Base_Costos!C169</x:f>
        <x:v>IL150-8</x:v>
      </x:c>
      <x:c r="C169" s="21" t="str">
        <x:f>Base_Costos!D169</x:f>
        <x:v>INFLADOR A BATERIA CON MEDIDOR DIGITAL</x:v>
      </x:c>
      <x:c r="D169" s="21" t="str">
        <x:f>Base_Costos!E169</x:f>
        <x:v>Producto Lusqtoff para uso profesional, taller, hogar o mantenimiento. Consultar disponibilidad y garantía oficial.</x:v>
      </x:c>
      <x:c r="E169" s="22" t="n">
        <x:f>Base_Costos!J169</x:f>
        <x:v>135600</x:v>
      </x:c>
      <x:c r="F169" s="22" t="n">
        <x:f>Base_Costos!K169</x:f>
        <x:v>128900</x:v>
      </x:c>
      <x:c r="G169" s="21" t="n">
        <x:f>Base_Costos!O169</x:f>
        <x:v>72</x:v>
      </x:c>
      <x:c r="H169" s="21" t="str">
        <x:f>Base_Costos!N169</x:f>
        <x:v>OK</x:v>
      </x:c>
    </x:row>
    <x:row r="170">
      <x:c r="A170" s="21" t="str">
        <x:f>Base_Costos!B170</x:f>
        <x:v>Estética y Accesorios Automotor</x:v>
      </x:c>
      <x:c r="B170" s="21" t="str">
        <x:f>Base_Costos!C170</x:f>
        <x:v>SETPLAI0-9</x:v>
      </x:c>
      <x:c r="C170" s="21" t="str">
        <x:f>Base_Costos!D170</x:f>
        <x:v>SET DE LIMPIEZA PARA AUTO - 10 PIEZAS.</x:v>
      </x:c>
      <x:c r="D170" s="21" t="str">
        <x:f>Base_Costos!E170</x:f>
        <x:v>Producto para cuidado automotor, detailing y mantenimiento. Ideal para limpieza, energía auxiliar y uso de taller.</x:v>
      </x:c>
      <x:c r="E170" s="22" t="n">
        <x:f>Base_Costos!J170</x:f>
        <x:v>54200</x:v>
      </x:c>
      <x:c r="F170" s="22" t="n">
        <x:f>Base_Costos!K170</x:f>
        <x:v>51500</x:v>
      </x:c>
      <x:c r="G170" s="21" t="n">
        <x:f>Base_Costos!O170</x:f>
        <x:v>72</x:v>
      </x:c>
      <x:c r="H170" s="21" t="str">
        <x:f>Base_Costos!N170</x:f>
        <x:v>OK</x:v>
      </x:c>
    </x:row>
    <x:row r="171">
      <x:c r="A171" s="21" t="str">
        <x:f>Base_Costos!B171</x:f>
        <x:v>Estética y Accesorios Automotor</x:v>
      </x:c>
      <x:c r="B171" s="21" t="str">
        <x:f>Base_Costos!C171</x:f>
        <x:v>LQH91204</x:v>
      </x:c>
      <x:c r="C171" s="21" t="str">
        <x:f>Base_Costos!D171</x:f>
        <x:v>CRIQUET BOTELLA 12TN</x:v>
      </x:c>
      <x:c r="D171" s="21" t="str">
        <x:f>Base_Costos!E171</x:f>
        <x:v>Producto Lusqtoff para uso profesional, taller, hogar o mantenimiento. Consultar disponibilidad y garantía oficial.</x:v>
      </x:c>
      <x:c r="E171" s="22" t="n">
        <x:f>Base_Costos!J171</x:f>
        <x:v>108500</x:v>
      </x:c>
      <x:c r="F171" s="22" t="n">
        <x:f>Base_Costos!K171</x:f>
        <x:v>103100</x:v>
      </x:c>
      <x:c r="G171" s="21" t="n">
        <x:f>Base_Costos!O171</x:f>
        <x:v>73</x:v>
      </x:c>
      <x:c r="H171" s="21" t="str">
        <x:f>Base_Costos!N171</x:f>
        <x:v>Revisar OCR</x:v>
      </x:c>
    </x:row>
    <x:row r="172">
      <x:c r="A172" s="21" t="str">
        <x:f>Base_Costos!B172</x:f>
        <x:v>Estética y Accesorios Automotor</x:v>
      </x:c>
      <x:c r="B172" s="21" t="str">
        <x:f>Base_Costos!C172</x:f>
        <x:v>PUL180-9B</x:v>
      </x:c>
      <x:c r="C172" s="21" t="str">
        <x:f>Base_Costos!D172</x:f>
        <x:v>PULIDORA INALAMBRICA</x:v>
      </x:c>
      <x:c r="D172" s="21" t="str">
        <x:f>Base_Costos!E172</x:f>
        <x:v>Producto para cuidado automotor, detailing y mantenimiento. Ideal para limpieza, energía auxiliar y uso de taller.</x:v>
      </x:c>
      <x:c r="E172" s="22" t="n">
        <x:f>Base_Costos!J172</x:f>
        <x:v>569500</x:v>
      </x:c>
      <x:c r="F172" s="22" t="n">
        <x:f>Base_Costos!K172</x:f>
        <x:v>541100</x:v>
      </x:c>
      <x:c r="G172" s="21" t="n">
        <x:f>Base_Costos!O172</x:f>
        <x:v>73</x:v>
      </x:c>
      <x:c r="H172" s="21" t="str">
        <x:f>Base_Costos!N172</x:f>
        <x:v>Revisar OCR</x:v>
      </x:c>
    </x:row>
    <x:row r="173">
      <x:c r="A173" s="21" t="str">
        <x:f>Base_Costos!B173</x:f>
        <x:v>Estética y Accesorios Automotor</x:v>
      </x:c>
      <x:c r="B173" s="21" t="str">
        <x:f>Base_Costos!C173</x:f>
        <x:v>PRDL900-9</x:v>
      </x:c>
      <x:c r="C173" s="21" t="str">
        <x:f>Base_Costos!D173</x:f>
        <x:v>PULIDORA ROTO ORBITAL</x:v>
      </x:c>
      <x:c r="D173" s="21" t="str">
        <x:f>Base_Costos!E173</x:f>
        <x:v>Producto para cuidado automotor, detailing y mantenimiento. Ideal para limpieza, energía auxiliar y uso de taller.</x:v>
      </x:c>
      <x:c r="E173" s="22" t="n">
        <x:f>Base_Costos!J173</x:f>
        <x:v>216000</x:v>
      </x:c>
      <x:c r="F173" s="22" t="n">
        <x:f>Base_Costos!K173</x:f>
        <x:v>205200</x:v>
      </x:c>
      <x:c r="G173" s="21" t="n">
        <x:f>Base_Costos!O173</x:f>
        <x:v>73</x:v>
      </x:c>
      <x:c r="H173" s="21" t="str">
        <x:f>Base_Costos!N173</x:f>
        <x:v>Revisar OCR</x:v>
      </x:c>
    </x:row>
    <x:row r="174">
      <x:c r="A174" s="21" t="str">
        <x:f>Base_Costos!B174</x:f>
        <x:v>Estética y Accesorios Automotor</x:v>
      </x:c>
      <x:c r="B174" s="21" t="str">
        <x:f>Base_Costos!C174</x:f>
        <x:v>LA38-8BK</x:v>
      </x:c>
      <x:c r="C174" s="21" t="str">
        <x:f>Base_Costos!D174</x:f>
        <x:v>ASPIRADORA A BATERIA + BATERIA Y CARGADOR (IRON VOLT)</x:v>
      </x:c>
      <x:c r="D174" s="21" t="str">
        <x:f>Base_Costos!E174</x:f>
        <x:v>Producto para cuidado automotor, detailing y mantenimiento. Ideal para limpieza, energía auxiliar y uso de taller.</x:v>
      </x:c>
      <x:c r="E174" s="22" t="n">
        <x:f>Base_Costos!J174</x:f>
        <x:v>148500</x:v>
      </x:c>
      <x:c r="F174" s="22" t="n">
        <x:f>Base_Costos!K174</x:f>
        <x:v>141100</x:v>
      </x:c>
      <x:c r="G174" s="21" t="n">
        <x:f>Base_Costos!O174</x:f>
        <x:v>74</x:v>
      </x:c>
      <x:c r="H174" s="21" t="str">
        <x:f>Base_Costos!N174</x:f>
        <x:v>Revisar OCR</x:v>
      </x:c>
    </x:row>
    <x:row r="175">
      <x:c r="A175" s="21" t="str">
        <x:f>Base_Costos!B175</x:f>
        <x:v>Estética y Accesorios Automotor</x:v>
      </x:c>
      <x:c r="B175" s="21" t="str">
        <x:f>Base_Costos!C175</x:f>
        <x:v>LA-1500MM</x:v>
      </x:c>
      <x:c r="C175" s="21" t="str">
        <x:f>Base_Costos!D175</x:f>
        <x:v>ASPIRADORA TANQUE METAL 1000W-15</x:v>
      </x:c>
      <x:c r="D175" s="21" t="str">
        <x:f>Base_Costos!E175</x:f>
        <x:v>Producto para cuidado automotor, detailing y mantenimiento. Ideal para limpieza, energía auxiliar y uso de taller.</x:v>
      </x:c>
      <x:c r="E175" s="22" t="n">
        <x:f>Base_Costos!J175</x:f>
        <x:v>120800</x:v>
      </x:c>
      <x:c r="F175" s="22" t="n">
        <x:f>Base_Costos!K175</x:f>
        <x:v>114800</x:v>
      </x:c>
      <x:c r="G175" s="21" t="n">
        <x:f>Base_Costos!O175</x:f>
        <x:v>74</x:v>
      </x:c>
      <x:c r="H175" s="21" t="str">
        <x:f>Base_Costos!N175</x:f>
        <x:v>Revisar OCR</x:v>
      </x:c>
    </x:row>
    <x:row r="176">
      <x:c r="A176" s="21" t="str">
        <x:f>Base_Costos!B176</x:f>
        <x:v>Estética y Accesorios Automotor</x:v>
      </x:c>
      <x:c r="B176" s="21" t="str">
        <x:f>Base_Costos!C176</x:f>
        <x:v>SAL3TON-7</x:v>
      </x:c>
      <x:c r="C176" s="21" t="str">
        <x:f>Base_Costos!D176</x:f>
        <x:v>SOPORTE AUTO 3TON</x:v>
      </x:c>
      <x:c r="D176" s="21" t="str">
        <x:f>Base_Costos!E176</x:f>
        <x:v>Producto para cuidado automotor, detailing y mantenimiento. Ideal para limpieza, energía auxiliar y uso de taller.</x:v>
      </x:c>
      <x:c r="E176" s="22" t="n">
        <x:f>Base_Costos!J176</x:f>
        <x:v>70600</x:v>
      </x:c>
      <x:c r="F176" s="22" t="n">
        <x:f>Base_Costos!K176</x:f>
        <x:v>67100</x:v>
      </x:c>
      <x:c r="G176" s="21" t="n">
        <x:f>Base_Costos!O176</x:f>
        <x:v>75</x:v>
      </x:c>
      <x:c r="H176" s="21" t="str">
        <x:f>Base_Costos!N176</x:f>
        <x:v>OK</x:v>
      </x:c>
    </x:row>
    <x:row r="177">
      <x:c r="A177" s="21" t="str">
        <x:f>Base_Costos!B177</x:f>
        <x:v>Y Más Herramientas</x:v>
      </x:c>
      <x:c r="B177" s="21" t="str">
        <x:f>Base_Costos!C177</x:f>
        <x:v>LTF-6308R</x:v>
      </x:c>
      <x:c r="C177" s="21" t="str">
        <x:f>Base_Costos!D177</x:f>
        <x:v>TERMOFUSORA 220V 50HZ 800W</x:v>
      </x:c>
      <x:c r="D177" s="21" t="str">
        <x:f>Base_Costos!E177</x:f>
        <x:v>Herramienta para instalaciones y reparaciones con termofusión. Ideal para plomería, obra y mantenimiento.</x:v>
      </x:c>
      <x:c r="E177" s="22" t="n">
        <x:f>Base_Costos!J177</x:f>
        <x:v>60900</x:v>
      </x:c>
      <x:c r="F177" s="22" t="n">
        <x:f>Base_Costos!K177</x:f>
        <x:v>57900</x:v>
      </x:c>
      <x:c r="G177" s="21" t="n">
        <x:f>Base_Costos!O177</x:f>
        <x:v>76</x:v>
      </x:c>
      <x:c r="H177" s="21" t="str">
        <x:f>Base_Costos!N177</x:f>
        <x:v>OK</x:v>
      </x:c>
    </x:row>
    <x:row r="178">
      <x:c r="A178" s="21" t="str">
        <x:f>Base_Costos!B178</x:f>
        <x:v>Y Más Herramientas</x:v>
      </x:c>
      <x:c r="B178" s="21" t="str">
        <x:f>Base_Costos!C178</x:f>
        <x:v>N3</x:v>
      </x:c>
      <x:c r="C178" s="21" t="str">
        <x:f>Base_Costos!D178</x:f>
        <x:v>APAREJO ELÉCTRICO 500/1000KG 12M</x:v>
      </x:c>
      <x:c r="D178" s="21" t="str">
        <x:f>Base_Costos!E178</x:f>
        <x:v>Equipo para izaje y movimiento de cargas. Recomendado para taller, obra y tareas de mantenimiento.</x:v>
      </x:c>
      <x:c r="E178" s="22" t="n">
        <x:f>Base_Costos!J178</x:f>
        <x:v>456700</x:v>
      </x:c>
      <x:c r="F178" s="22" t="n">
        <x:f>Base_Costos!K178</x:f>
        <x:v>433900</x:v>
      </x:c>
      <x:c r="G178" s="21" t="n">
        <x:f>Base_Costos!O178</x:f>
        <x:v>77</x:v>
      </x:c>
      <x:c r="H178" s="21" t="str">
        <x:f>Base_Costos!N178</x:f>
        <x:v>Revisar OCR</x:v>
      </x:c>
    </x:row>
    <x:row r="179">
      <x:c r="A179" s="21" t="str">
        <x:f>Base_Costos!B179</x:f>
        <x:v>Y Más Herramientas</x:v>
      </x:c>
      <x:c r="B179" s="21" t="str">
        <x:f>Base_Costos!C179</x:f>
        <x:v>CCL600-8</x:v>
      </x:c>
      <x:c r="C179" s="21" t="str">
        <x:f>Base_Costos!D179</x:f>
        <x:v>CORTADORA DE CERAMICO 600MM MAXIMO</x:v>
      </x:c>
      <x:c r="D179" s="21" t="str">
        <x:f>Base_Costos!E179</x:f>
        <x:v>Producto orientado a corte, desbaste y terminación. Recomendado para metal, obra y mantenimiento general.</x:v>
      </x:c>
      <x:c r="E179" s="22" t="n">
        <x:f>Base_Costos!J179</x:f>
        <x:v>101500</x:v>
      </x:c>
      <x:c r="F179" s="22" t="n">
        <x:f>Base_Costos!K179</x:f>
        <x:v>96500</x:v>
      </x:c>
      <x:c r="G179" s="21" t="n">
        <x:f>Base_Costos!O179</x:f>
        <x:v>77</x:v>
      </x:c>
      <x:c r="H179" s="21" t="str">
        <x:f>Base_Costos!N179</x:f>
        <x:v>Revisar OCR</x:v>
      </x:c>
    </x:row>
    <x:row r="180">
      <x:c r="A180" s="21" t="str">
        <x:f>Base_Costos!B180</x:f>
        <x:v>Y Más Herramientas</x:v>
      </x:c>
      <x:c r="B180" s="21" t="str">
        <x:f>Base_Costos!C180</x:f>
        <x:v>LMP1004</x:v>
      </x:c>
      <x:c r="C180" s="21" t="str">
        <x:f>Base_Costos!D180</x:f>
        <x:v>MORSA 4"</x:v>
      </x:c>
      <x:c r="D180" s="21" t="str">
        <x:f>Base_Costos!E180</x:f>
        <x:v>Elemento de sujeción para banco de trabajo. Ideal para mecánica, herrería y trabajos de precisión.</x:v>
      </x:c>
      <x:c r="E180" s="22" t="n">
        <x:f>Base_Costos!J180</x:f>
        <x:v>200000</x:v>
      </x:c>
      <x:c r="F180" s="22" t="n">
        <x:f>Base_Costos!K180</x:f>
        <x:v>190000</x:v>
      </x:c>
      <x:c r="G180" s="21" t="n">
        <x:f>Base_Costos!O180</x:f>
        <x:v>77</x:v>
      </x:c>
      <x:c r="H180" s="21" t="str">
        <x:f>Base_Costos!N180</x:f>
        <x:v>OK</x:v>
      </x:c>
    </x:row>
    <x:row r="181">
      <x:c r="A181" s="21" t="str">
        <x:f>Base_Costos!B181</x:f>
        <x:v>Y Más Herramientas</x:v>
      </x:c>
      <x:c r="B181" s="21" t="str">
        <x:f>Base_Costos!C181</x:f>
        <x:v>ACPLI500-9</x:v>
      </x:c>
      <x:c r="C181" s="21" t="str">
        <x:f>Base_Costos!D181</x:f>
        <x:v>ACANALADORA DE PARED</x:v>
      </x:c>
      <x:c r="D181" s="21" t="str">
        <x:f>Base_Costos!E181</x:f>
        <x:v>Herramienta para canaletas y trabajos de instalación. Recomendada para obra, electricidad y mantenimiento.</x:v>
      </x:c>
      <x:c r="E181" s="22" t="n">
        <x:f>Base_Costos!J181</x:f>
        <x:v>388700</x:v>
      </x:c>
      <x:c r="F181" s="22" t="n">
        <x:f>Base_Costos!K181</x:f>
        <x:v>369300</x:v>
      </x:c>
      <x:c r="G181" s="21" t="n">
        <x:f>Base_Costos!O181</x:f>
        <x:v>78</x:v>
      </x:c>
      <x:c r="H181" s="21" t="str">
        <x:f>Base_Costos!N181</x:f>
        <x:v>OK</x:v>
      </x:c>
    </x:row>
    <x:row r="182">
      <x:c r="A182" s="21" t="str">
        <x:f>Base_Costos!B182</x:f>
        <x:v>Y Más Herramientas</x:v>
      </x:c>
      <x:c r="B182" s="21" t="str">
        <x:f>Base_Costos!C182</x:f>
        <x:v>LM420</x:v>
      </x:c>
      <x:c r="C182" s="21" t="str">
        <x:f>Base_Costos!D182</x:f>
        <x:v>MOTOR NAFTERO 15HP 3600 RPM</x:v>
      </x:c>
      <x:c r="D182" s="21" t="str">
        <x:f>Base_Costos!E182</x:f>
        <x:v>Motor naftero para aplicaciones de fuerza y equipos auxiliares. Ideal para mantenimiento y reemplazo.</x:v>
      </x:c>
      <x:c r="E182" s="22" t="n">
        <x:f>Base_Costos!J182</x:f>
        <x:v>733700</x:v>
      </x:c>
      <x:c r="F182" s="22" t="n">
        <x:f>Base_Costos!K182</x:f>
        <x:v>697100</x:v>
      </x:c>
      <x:c r="G182" s="21" t="n">
        <x:f>Base_Costos!O182</x:f>
        <x:v>78</x:v>
      </x:c>
      <x:c r="H182" s="21" t="str">
        <x:f>Base_Costos!N182</x:f>
        <x:v>OK</x:v>
      </x:c>
    </x:row>
  </x:sheetData>
  <x:pageMargins left="0.7" right="0.7" top="0.75" bottom="0.75" header="0.3" footer="0.3"/>
  <x:tableParts count="1">
    <x:tablePart xmlns:r="http://schemas.openxmlformats.org/officeDocument/2006/relationships" r:id="R82eaf1bdc08e41e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0" hidden="0" customWidth="1"/>
    <x:col min="4" max="4" width="62" hidden="0" customWidth="1"/>
    <x:col min="5" max="5" width="18" hidden="0" customWidth="1"/>
    <x:col min="6" max="6" width="24" hidden="0" customWidth="1"/>
  </x:cols>
  <x:sheetData>
    <x:row r="1">
      <x:c r="A1" s="38" t="str">
        <x:v>Código</x:v>
      </x:c>
      <x:c r="B1" s="38" t="str">
        <x:v>Producto</x:v>
      </x:c>
      <x:c r="C1" s="38" t="str">
        <x:v>Categoría</x:v>
      </x:c>
      <x:c r="D1" s="38" t="str">
        <x:v>Precio WhatsApp</x:v>
      </x:c>
      <x:c r="E1" s="38" t="str">
        <x:v>Copy sugerido para publicación</x:v>
      </x:c>
      <x:c r="F1" s="38" t="str">
        <x:v>Página PDF</x:v>
      </x:c>
    </x:row>
    <x:row r="2">
      <x:c r="A2" s="21" t="str">
        <x:f>Base_Costos!C2</x:f>
        <x:v>AB-550</x:v>
      </x:c>
      <x:c r="B2" s="21" t="str">
        <x:f>Base_Costos!D2</x:f>
        <x:v>AMOLADORA DE BANCO 550W</x:v>
      </x:c>
      <x:c r="C2" s="21" t="str">
        <x:f>Base_Costos!B2</x:f>
        <x:v>Amoladoras y Corte</x:v>
      </x:c>
      <x:c r="D2" s="22" t="n">
        <x:f>Base_Costos!K2</x:f>
        <x:v>123000</x:v>
      </x:c>
      <x:c r="E2" s="21" t="str">
        <x:v>Amoladora de banco 550w Lusqtoff. Producto orientado a corte, desbaste y terminación. Recomendado para metal, obra y mantenimiento general. Consultanos stock y envío.</x:v>
      </x:c>
      <x:c r="F2" s="21" t="n">
        <x:f>Base_Costos!O2</x:f>
        <x:v>2</x:v>
      </x:c>
    </x:row>
    <x:row r="3">
      <x:c r="A3" s="21" t="str">
        <x:f>Base_Costos!C3</x:f>
        <x:v>L-820</x:v>
      </x:c>
      <x:c r="B3" s="21" t="str">
        <x:f>Base_Costos!D3</x:f>
        <x:v>AMOLADORA ANGULAR 720w</x:v>
      </x:c>
      <x:c r="C3" s="21" t="str">
        <x:f>Base_Costos!B3</x:f>
        <x:v>Amoladoras y Corte</x:v>
      </x:c>
      <x:c r="D3" s="22" t="n">
        <x:f>Base_Costos!K3</x:f>
        <x:v>53700</x:v>
      </x:c>
      <x:c r="E3" s="21" t="str">
        <x:v>Amoladora angular 720w Lusqtoff. Producto orientado a corte, desbaste y terminación. Recomendado para metal, obra y mantenimiento general. Consultanos stock y envío.</x:v>
      </x:c>
      <x:c r="F3" s="21" t="n">
        <x:f>Base_Costos!O3</x:f>
        <x:v>3</x:v>
      </x:c>
    </x:row>
    <x:row r="4">
      <x:c r="A4" s="21" t="str">
        <x:f>Base_Costos!C4</x:f>
        <x:v>ATG18-7</x:v>
      </x:c>
      <x:c r="B4" s="21" t="str">
        <x:f>Base_Costos!D4</x:f>
        <x:v>SET DE HERRAMIENTAS A BATERÍA 18V (TALADRO + AMOLADORA)</x:v>
      </x:c>
      <x:c r="C4" s="21" t="str">
        <x:f>Base_Costos!B4</x:f>
        <x:v>Amoladoras y Corte</x:v>
      </x:c>
      <x:c r="D4" s="22" t="n">
        <x:f>Base_Costos!K4</x:f>
        <x:v>274200</x:v>
      </x:c>
      <x:c r="E4" s="21" t="str">
        <x:v>Set de herramientas a batería 18v (taladro + amoladora) Lusqtoff. Equipo de alta rotación para obra, taller y mantenimiento. Ideal para perforación, fijación y trabajos de uso intensivo según el modelo. Consultanos stock y envío.</x:v>
      </x:c>
      <x:c r="F4" s="21" t="n">
        <x:f>Base_Costos!O4</x:f>
        <x:v>3</x:v>
      </x:c>
    </x:row>
    <x:row r="5">
      <x:c r="A5" s="21" t="str">
        <x:f>Base_Costos!C5</x:f>
        <x:v>AML1300B-8</x:v>
      </x:c>
      <x:c r="B5" s="21" t="str">
        <x:f>Base_Costos!D5</x:f>
        <x:v>AMOLADORA ANGULAR 115 MM 1300</x:v>
      </x:c>
      <x:c r="C5" s="21" t="str">
        <x:f>Base_Costos!B5</x:f>
        <x:v>Amoladoras y Corte</x:v>
      </x:c>
      <x:c r="D5" s="22" t="n">
        <x:f>Base_Costos!K5</x:f>
        <x:v>96100</x:v>
      </x:c>
      <x:c r="E5" s="21" t="str">
        <x:v>Amoladora angular 115 mm 1300 Lusqtoff. Producto orientado a corte, desbaste y terminación. Recomendado para metal, obra y mantenimiento general. Consultanos stock y envío.</x:v>
      </x:c>
      <x:c r="F5" s="21" t="n">
        <x:f>Base_Costos!O5</x:f>
        <x:v>4</x:v>
      </x:c>
    </x:row>
    <x:row r="6">
      <x:c r="A6" s="21" t="str">
        <x:f>Base_Costos!C6</x:f>
        <x:v>AML2200-8</x:v>
      </x:c>
      <x:c r="B6" s="21" t="str">
        <x:f>Base_Costos!D6</x:f>
        <x:v>AMOLADORA ANGULAR 180MM 2200W LUSQTOFF</x:v>
      </x:c>
      <x:c r="C6" s="21" t="str">
        <x:f>Base_Costos!B6</x:f>
        <x:v>Amoladoras y Corte</x:v>
      </x:c>
      <x:c r="D6" s="22" t="n">
        <x:f>Base_Costos!K6</x:f>
        <x:v>257100</x:v>
      </x:c>
      <x:c r="E6" s="21" t="str">
        <x:v>Amoladora angular 180mm 2200w lusqtoff Lusqtoff. Producto orientado a corte, desbaste y terminación. Recomendado para metal, obra y mantenimiento general. Consultanos stock y envío.</x:v>
      </x:c>
      <x:c r="F6" s="21" t="n">
        <x:f>Base_Costos!O6</x:f>
        <x:v>4</x:v>
      </x:c>
    </x:row>
    <x:row r="7">
      <x:c r="A7" s="21" t="str">
        <x:f>Base_Costos!C7</x:f>
        <x:v>AML850-9</x:v>
      </x:c>
      <x:c r="B7" s="21" t="str">
        <x:f>Base_Costos!D7</x:f>
        <x:v>AMOLADORA ANGULAR 850W</x:v>
      </x:c>
      <x:c r="C7" s="21" t="str">
        <x:f>Base_Costos!B7</x:f>
        <x:v>Amoladoras y Corte</x:v>
      </x:c>
      <x:c r="D7" s="22" t="n">
        <x:f>Base_Costos!K7</x:f>
        <x:v>60100</x:v>
      </x:c>
      <x:c r="E7" s="21" t="str">
        <x:v>Amoladora angular 850w Lusqtoff. Producto orientado a corte, desbaste y terminación. Recomendado para metal, obra y mantenimiento general. Consultanos stock y envío.</x:v>
      </x:c>
      <x:c r="F7" s="21" t="n">
        <x:f>Base_Costos!O7</x:f>
        <x:v>4</x:v>
      </x:c>
    </x:row>
    <x:row r="8">
      <x:c r="A8" s="21" t="str">
        <x:f>Base_Costos!C8</x:f>
        <x:v>TIL23-8KB</x:v>
      </x:c>
      <x:c r="B8" s="21" t="str">
        <x:f>Base_Costos!D8</x:f>
        <x:v>TALADRO ATORNILLADOR 12v</x:v>
      </x:c>
      <x:c r="C8" s="21" t="str">
        <x:f>Base_Costos!B8</x:f>
        <x:v>Taladros / 220V / Batería / Accesorios</x:v>
      </x:c>
      <x:c r="D8" s="22" t="n">
        <x:f>Base_Costos!K8</x:f>
        <x:v>120500</x:v>
      </x:c>
      <x:c r="E8" s="21" t="str">
        <x:v>Taladro atornillador 12v Lusqtoff. Equipo de alta rotación para obra, taller y mantenimiento. Ideal para perforación, fijación y trabajos de uso intensivo según el modelo. Consultanos stock y envío.</x:v>
      </x:c>
      <x:c r="F8" s="21" t="n">
        <x:f>Base_Costos!O8</x:f>
        <x:v>5</x:v>
      </x:c>
    </x:row>
    <x:row r="9">
      <x:c r="A9" s="21" t="str">
        <x:f>Base_Costos!C9</x:f>
        <x:v>TAL12-8A</x:v>
      </x:c>
      <x:c r="B9" s="21" t="str">
        <x:f>Base_Costos!D9</x:f>
        <x:v>taladro atornillador inalámbrico 12 v</x:v>
      </x:c>
      <x:c r="C9" s="21" t="str">
        <x:f>Base_Costos!B9</x:f>
        <x:v>Taladros / 220V / Batería / Accesorios</x:v>
      </x:c>
      <x:c r="D9" s="22" t="n">
        <x:f>Base_Costos!K9</x:f>
        <x:v>123200</x:v>
      </x:c>
      <x:c r="E9" s="21" t="str">
        <x:v>Taladro atornillador inalámbrico 12 v Lusqtoff. Equipo de alta rotación para obra, taller y mantenimiento. Ideal para perforación, fijación y trabajos de uso intensivo según el modelo. Consultanos stock y envío.</x:v>
      </x:c>
      <x:c r="F9" s="21" t="n">
        <x:f>Base_Costos!O9</x:f>
        <x:v>5</x:v>
      </x:c>
    </x:row>
    <x:row r="10">
      <x:c r="A10" s="21" t="str">
        <x:f>Base_Costos!C10</x:f>
        <x:v>ATL710-8</x:v>
      </x:c>
      <x:c r="B10" s="21" t="str">
        <x:f>Base_Costos!D10</x:f>
        <x:v>ATORNILLADOR CON TOPE</x:v>
      </x:c>
      <x:c r="C10" s="21" t="str">
        <x:f>Base_Costos!B10</x:f>
        <x:v>Taladros / 220V / Batería / Accesorios</x:v>
      </x:c>
      <x:c r="D10" s="22" t="n">
        <x:f>Base_Costos!K10</x:f>
        <x:v>107400</x:v>
      </x:c>
      <x:c r="E10" s="21" t="str">
        <x:v>Atornillador con tope Lusqtoff. Equipo de alta rotación para obra, taller y mantenimiento. Ideal para perforación, fijación y trabajos de uso intensivo según el modelo. Consultanos stock y envío.</x:v>
      </x:c>
      <x:c r="F10" s="21" t="n">
        <x:f>Base_Costos!O10</x:f>
        <x:v>6</x:v>
      </x:c>
    </x:row>
    <x:row r="11">
      <x:c r="A11" s="21" t="str">
        <x:f>Base_Costos!C11</x:f>
        <x:v>ATL18-9B</x:v>
      </x:c>
      <x:c r="B11" s="21" t="str">
        <x:f>Base_Costos!D11</x:f>
        <x:v>TALADRO 13 MM EN KIT CON 2 BATERIAS, VALIJA Y MECHAS</x:v>
      </x:c>
      <x:c r="C11" s="21" t="str">
        <x:f>Base_Costos!B11</x:f>
        <x:v>Taladros / 220V / Batería / Accesorios</x:v>
      </x:c>
      <x:c r="D11" s="22" t="n">
        <x:f>Base_Costos!K11</x:f>
        <x:v>155700</x:v>
      </x:c>
      <x:c r="E11" s="21" t="str">
        <x:v>Taladro 13 mm en kit con 2 baterias, valija y mechas Lusqtoff. Equipo de alta rotación para obra, taller y mantenimiento. Ideal para perforación, fijación y trabajos de uso intensivo según el modelo. Consultanos stock y envío.</x:v>
      </x:c>
      <x:c r="F11" s="21" t="n">
        <x:f>Base_Costos!O11</x:f>
        <x:v>6</x:v>
      </x:c>
    </x:row>
    <x:row r="12">
      <x:c r="A12" s="21" t="str">
        <x:f>Base_Costos!C12</x:f>
        <x:v>TIL45-8BK</x:v>
      </x:c>
      <x:c r="B12" s="21" t="str">
        <x:f>Base_Costos!D12</x:f>
        <x:v>TALADRO ATORNILLADOR PERCUTOR BRUSHLESS 13MM A BATERIA</x:v>
      </x:c>
      <x:c r="C12" s="21" t="str">
        <x:f>Base_Costos!B12</x:f>
        <x:v>Taladros / 220V / Batería / Accesorios</x:v>
      </x:c>
      <x:c r="D12" s="22" t="n">
        <x:f>Base_Costos!K12</x:f>
        <x:v>178600</x:v>
      </x:c>
      <x:c r="E12" s="21" t="str">
        <x:v>Taladro atornillador percutor brushless 13mm a bateria Lusqtoff. Equipo de alta rotación para obra, taller y mantenimiento. Ideal para perforación, fijación y trabajos de uso intensivo según el modelo. Consultanos stock y envío.</x:v>
      </x:c>
      <x:c r="F12" s="21" t="n">
        <x:f>Base_Costos!O12</x:f>
        <x:v>6</x:v>
      </x:c>
    </x:row>
    <x:row r="13">
      <x:c r="A13" s="21" t="str">
        <x:f>Base_Costos!C13</x:f>
        <x:v>RML850-7</x:v>
      </x:c>
      <x:c r="B13" s="21" t="str">
        <x:f>Base_Costos!D13</x:f>
        <x:v>Rotomartillo 800w</x:v>
      </x:c>
      <x:c r="C13" s="21" t="str">
        <x:f>Base_Costos!B13</x:f>
        <x:v>Taladros / 220V / Batería / Accesorios</x:v>
      </x:c>
      <x:c r="D13" s="22" t="n">
        <x:f>Base_Costos!K13</x:f>
        <x:v>94000</x:v>
      </x:c>
      <x:c r="E13" s="21" t="str">
        <x:v>Rotomartillo 800w Lusqtoff. Equipo de alta rotación para obra, taller y mantenimiento. Ideal para perforación, fijación y trabajos de uso intensivo según el modelo. Consultanos stock y envío.</x:v>
      </x:c>
      <x:c r="F13" s="21" t="n">
        <x:f>Base_Costos!O13</x:f>
        <x:v>7</x:v>
      </x:c>
    </x:row>
    <x:row r="14">
      <x:c r="A14" s="21" t="str">
        <x:f>Base_Costos!C14</x:f>
        <x:v>TAGP12-7A</x:v>
      </x:c>
      <x:c r="B14" s="21" t="str">
        <x:f>Base_Costos!D14</x:f>
        <x:v>TALADRO ATORNILLADOR 12V</x:v>
      </x:c>
      <x:c r="C14" s="21" t="str">
        <x:f>Base_Costos!B14</x:f>
        <x:v>Taladros / 220V / Batería / Accesorios</x:v>
      </x:c>
      <x:c r="D14" s="22" t="n">
        <x:f>Base_Costos!K14</x:f>
        <x:v>106900</x:v>
      </x:c>
      <x:c r="E14" s="21" t="str">
        <x:v>Taladro atornillador 12v Lusqtoff. Equipo de alta rotación para obra, taller y mantenimiento. Ideal para perforación, fijación y trabajos de uso intensivo según el modelo. Consultanos stock y envío.</x:v>
      </x:c>
      <x:c r="F14" s="21" t="n">
        <x:f>Base_Costos!O14</x:f>
        <x:v>7</x:v>
      </x:c>
    </x:row>
    <x:row r="15">
      <x:c r="A15" s="21" t="str">
        <x:f>Base_Costos!C15</x:f>
        <x:v>L2130</x:v>
      </x:c>
      <x:c r="B15" s="21" t="str">
        <x:f>Base_Costos!D15</x:f>
        <x:v>JUEGO DE BROCAS 25 PCS</x:v>
      </x:c>
      <x:c r="C15" s="21" t="str">
        <x:f>Base_Costos!B15</x:f>
        <x:v>Taladros / 220V / Batería / Accesorios</x:v>
      </x:c>
      <x:c r="D15" s="22" t="n">
        <x:f>Base_Costos!K15</x:f>
        <x:v>100800</x:v>
      </x:c>
      <x:c r="E15" s="21" t="str">
        <x:v>Juego de brocas 25 pcs Lusqtoff. Herramienta o conjunto para organización y trabajo de taller. Producto práctico para mecánica, mantenimiento y uso profesional. Consultanos stock y envío.</x:v>
      </x:c>
      <x:c r="F15" s="21" t="n">
        <x:f>Base_Costos!O15</x:f>
        <x:v>8</x:v>
      </x:c>
    </x:row>
    <x:row r="16">
      <x:c r="A16" s="21" t="str">
        <x:f>Base_Costos!C16</x:f>
        <x:v>RML1050-8</x:v>
      </x:c>
      <x:c r="B16" s="21" t="str">
        <x:f>Base_Costos!D16</x:f>
        <x:v>ROTOMARTILLO 1050 W</x:v>
      </x:c>
      <x:c r="C16" s="21" t="str">
        <x:f>Base_Costos!B16</x:f>
        <x:v>Taladros / 220V / Batería / Accesorios</x:v>
      </x:c>
      <x:c r="D16" s="22" t="n">
        <x:f>Base_Costos!K16</x:f>
        <x:v>167000</x:v>
      </x:c>
      <x:c r="E16" s="21" t="str">
        <x:v>Rotomartillo 1050 w Lusqtoff. Equipo de alta rotación para obra, taller y mantenimiento. Ideal para perforación, fijación y trabajos de uso intensivo según el modelo. Consultanos stock y envío.</x:v>
      </x:c>
      <x:c r="F16" s="21" t="n">
        <x:f>Base_Costos!O16</x:f>
        <x:v>8</x:v>
      </x:c>
    </x:row>
    <x:row r="17">
      <x:c r="A17" s="21" t="str">
        <x:f>Base_Costos!C17</x:f>
        <x:v>RML4000-9BK</x:v>
      </x:c>
      <x:c r="B17" s="21" t="str">
        <x:f>Base_Costos!D17</x:f>
        <x:v>ROTOMARTILLO INALAMBRICO SDS PLUS 2.5J</x:v>
      </x:c>
      <x:c r="C17" s="21" t="str">
        <x:f>Base_Costos!B17</x:f>
        <x:v>Taladros / 220V / Batería / Accesorios</x:v>
      </x:c>
      <x:c r="D17" s="22" t="n">
        <x:f>Base_Costos!K17</x:f>
        <x:v>186100</x:v>
      </x:c>
      <x:c r="E17" s="21" t="str">
        <x:v>Rotomartillo inalambrico sds plus 2.5j Lusqtoff. Equipo de alta rotación para obra, taller y mantenimiento. Ideal para perforación, fijación y trabajos de uso intensivo según el modelo. Consultanos stock y envío.</x:v>
      </x:c>
      <x:c r="F17" s="21" t="n">
        <x:f>Base_Costos!O17</x:f>
        <x:v>8</x:v>
      </x:c>
    </x:row>
    <x:row r="18">
      <x:c r="A18" s="21" t="str">
        <x:f>Base_Costos!C18</x:f>
        <x:v>JATL82-8</x:v>
      </x:c>
      <x:c r="B18" s="21" t="str">
        <x:f>Base_Costos!D18</x:f>
        <x:v>JUEGO DE ACCESORIOS PARA TALADRO</x:v>
      </x:c>
      <x:c r="C18" s="21" t="str">
        <x:f>Base_Costos!B18</x:f>
        <x:v>Taladros / 220V / Batería / Accesorios</x:v>
      </x:c>
      <x:c r="D18" s="22" t="n">
        <x:f>Base_Costos!K18</x:f>
        <x:v>60900</x:v>
      </x:c>
      <x:c r="E18" s="21" t="str">
        <x:v>Juego de accesorios para taladro Lusqtoff. Equipo de alta rotación para obra, taller y mantenimiento. Ideal para perforación, fijación y trabajos de uso intensivo según el modelo. Consultanos stock y envío.</x:v>
      </x:c>
      <x:c r="F18" s="21" t="n">
        <x:f>Base_Costos!O18</x:f>
        <x:v>9</x:v>
      </x:c>
    </x:row>
    <x:row r="19">
      <x:c r="A19" s="21" t="str">
        <x:f>Base_Costos!C19</x:f>
        <x:v>JMPL100-8</x:v>
      </x:c>
      <x:c r="B19" s="21" t="str">
        <x:f>Base_Costos!D19</x:f>
        <x:v>JUEGO DE MECHAS Y PUNTAS 100 PIEZAS</x:v>
      </x:c>
      <x:c r="C19" s="21" t="str">
        <x:f>Base_Costos!B19</x:f>
        <x:v>Taladros / 220V / Batería / Accesorios</x:v>
      </x:c>
      <x:c r="D19" s="22" t="n">
        <x:f>Base_Costos!K19</x:f>
        <x:v>78300</x:v>
      </x:c>
      <x:c r="E19" s="21" t="str">
        <x:v>Juego de mechas y puntas 100 piezas Lusqtoff. Herramienta o conjunto para organización y trabajo de taller. Producto práctico para mecánica, mantenimiento y uso profesional. Consultanos stock y envío.</x:v>
      </x:c>
      <x:c r="F19" s="21" t="n">
        <x:f>Base_Costos!O19</x:f>
        <x:v>9</x:v>
      </x:c>
    </x:row>
    <x:row r="20">
      <x:c r="A20" s="21" t="str">
        <x:f>Base_Costos!C20</x:f>
        <x:v>11047</x:v>
      </x:c>
      <x:c r="B20" s="21" t="str">
        <x:f>Base_Costos!D20</x:f>
        <x:v>JUEGO DE PUNTAS 40 PCS</x:v>
      </x:c>
      <x:c r="C20" s="21" t="str">
        <x:f>Base_Costos!B20</x:f>
        <x:v>Taladros / 220V / Batería / Accesorios</x:v>
      </x:c>
      <x:c r="D20" s="22" t="n">
        <x:f>Base_Costos!K20</x:f>
        <x:v>65100</x:v>
      </x:c>
      <x:c r="E20" s="21" t="str">
        <x:v>Juego de puntas 40 pcs Lusqtoff. Herramienta o conjunto para organización y trabajo de taller. Producto práctico para mecánica, mantenimiento y uso profesional. Consultanos stock y envío.</x:v>
      </x:c>
      <x:c r="F20" s="21" t="n">
        <x:f>Base_Costos!O20</x:f>
        <x:v>9</x:v>
      </x:c>
    </x:row>
    <x:row r="21">
      <x:c r="A21" s="21" t="str">
        <x:f>Base_Costos!C21</x:f>
        <x:v>KATL-8</x:v>
      </x:c>
      <x:c r="B21" s="21" t="str">
        <x:f>Base_Costos!D21</x:f>
        <x:v>KIT AMOLADORA 720W + TALADRO</x:v>
      </x:c>
      <x:c r="C21" s="21" t="str">
        <x:f>Base_Costos!B21</x:f>
        <x:v>Taladros / 220V / Batería / Accesorios</x:v>
      </x:c>
      <x:c r="D21" s="22" t="n">
        <x:f>Base_Costos!K21</x:f>
        <x:v>138700</x:v>
      </x:c>
      <x:c r="E21" s="21" t="str">
        <x:v>Kit amoladora 720w + taladro Lusqtoff. Equipo de alta rotación para obra, taller y mantenimiento. Ideal para perforación, fijación y trabajos de uso intensivo según el modelo. Consultanos stock y envío.</x:v>
      </x:c>
      <x:c r="F21" s="21" t="n">
        <x:f>Base_Costos!O21</x:f>
        <x:v>10</x:v>
      </x:c>
    </x:row>
    <x:row r="22">
      <x:c r="A22" s="21" t="str">
        <x:f>Base_Costos!C22</x:f>
        <x:v>LH-199BK</x:v>
      </x:c>
      <x:c r="B22" s="21" t="str">
        <x:f>Base_Costos!D22</x:f>
        <x:v>TALADRO ATORNILLADOR INALAMBRICO BRUSHLESS GARDEN PLUS</x:v>
      </x:c>
      <x:c r="C22" s="21" t="str">
        <x:f>Base_Costos!B22</x:f>
        <x:v>Taladros / 220V / Batería / Accesorios</x:v>
      </x:c>
      <x:c r="D22" s="22" t="n">
        <x:f>Base_Costos!K22</x:f>
        <x:v>110200</x:v>
      </x:c>
      <x:c r="E22" s="21" t="str">
        <x:v>Taladro atornillador inalambrico brushless garden plus Lusqtoff. Equipo de alta rotación para obra, taller y mantenimiento. Ideal para perforación, fijación y trabajos de uso intensivo según el modelo. Consultanos stock y envío.</x:v>
      </x:c>
      <x:c r="F22" s="21" t="n">
        <x:f>Base_Costos!O22</x:f>
        <x:v>10</x:v>
      </x:c>
    </x:row>
    <x:row r="23">
      <x:c r="A23" s="21" t="str">
        <x:f>Base_Costos!C23</x:f>
        <x:v>LIL900-8</x:v>
      </x:c>
      <x:c r="B23" s="21" t="str">
        <x:f>Base_Costos!D23</x:f>
        <x:v>LLAVE DE IMPACTO 900W</x:v>
      </x:c>
      <x:c r="C23" s="21" t="str">
        <x:f>Base_Costos!B23</x:f>
        <x:v>Taladros / 220V / Batería / Accesorios</x:v>
      </x:c>
      <x:c r="D23" s="22" t="n">
        <x:f>Base_Costos!K23</x:f>
        <x:v>178900</x:v>
      </x:c>
      <x:c r="E23" s="21" t="str">
        <x:v>Llave de impacto 900w Lusqtoff. Herramienta o conjunto para organización y trabajo de taller. Producto práctico para mecánica, mantenimiento y uso profesional. Consultanos stock y envío.</x:v>
      </x:c>
      <x:c r="F23" s="21" t="n">
        <x:f>Base_Costos!O23</x:f>
        <x:v>11</x:v>
      </x:c>
    </x:row>
    <x:row r="24">
      <x:c r="A24" s="21" t="str">
        <x:f>Base_Costos!C24</x:f>
        <x:v>LIGP530-78</x:v>
      </x:c>
      <x:c r="B24" s="21" t="str">
        <x:f>Base_Costos!D24</x:f>
        <x:v>LLAVE DE IMPACTO INALAMBRICA</x:v>
      </x:c>
      <x:c r="C24" s="21" t="str">
        <x:f>Base_Costos!B24</x:f>
        <x:v>Taladros / 220V / Batería / Accesorios</x:v>
      </x:c>
      <x:c r="D24" s="22" t="n">
        <x:f>Base_Costos!K24</x:f>
        <x:v>222300</x:v>
      </x:c>
      <x:c r="E24" s="21" t="str">
        <x:v>Llave de impacto inalambrica Lusqtoff. Herramienta o conjunto para organización y trabajo de taller. Producto práctico para mecánica, mantenimiento y uso profesional. Consultanos stock y envío.</x:v>
      </x:c>
      <x:c r="F24" s="21" t="n">
        <x:f>Base_Costos!O24</x:f>
        <x:v>11</x:v>
      </x:c>
    </x:row>
    <x:row r="25">
      <x:c r="A25" s="21" t="str">
        <x:f>Base_Costos!C25</x:f>
        <x:v>LTA750</x:v>
      </x:c>
      <x:c r="B25" s="21" t="str">
        <x:f>Base_Costos!D25</x:f>
        <x:v>TALADRO CON PERCUTOR 750W LUSQTOFF</x:v>
      </x:c>
      <x:c r="C25" s="21" t="str">
        <x:f>Base_Costos!B25</x:f>
        <x:v>Taladros / 220V / Batería / Accesorios</x:v>
      </x:c>
      <x:c r="D25" s="22" t="n">
        <x:f>Base_Costos!K25</x:f>
        <x:v>60500</x:v>
      </x:c>
      <x:c r="E25" s="21" t="str">
        <x:v>Taladro con percutor 750w lusqtoff Lusqtoff. Equipo de alta rotación para obra, taller y mantenimiento. Ideal para perforación, fijación y trabajos de uso intensivo según el modelo. Consultanos stock y envío.</x:v>
      </x:c>
      <x:c r="F25" s="21" t="n">
        <x:f>Base_Costos!O25</x:f>
        <x:v>11</x:v>
      </x:c>
    </x:row>
    <x:row r="26">
      <x:c r="A26" s="21" t="str">
        <x:f>Base_Costos!C26</x:f>
        <x:v>ADL4-8</x:v>
      </x:c>
      <x:c r="B26" s="21" t="str">
        <x:f>Base_Costos!D26</x:f>
        <x:v>ATORNILLADOR / DESTORNILLADOR INALAMBRICO 4V</x:v>
      </x:c>
      <x:c r="C26" s="21" t="str">
        <x:f>Base_Costos!B26</x:f>
        <x:v>Taladros / 220V / Batería / Accesorios</x:v>
      </x:c>
      <x:c r="D26" s="22" t="n">
        <x:f>Base_Costos!K26</x:f>
        <x:v>72400</x:v>
      </x:c>
      <x:c r="E26" s="21" t="str">
        <x:v>Atornillador / destornillador inalambrico 4v Lusqtoff. Equipo de alta rotación para obra, taller y mantenimiento. Ideal para perforación, fijación y trabajos de uso intensivo según el modelo. Consultanos stock y envío.</x:v>
      </x:c>
      <x:c r="F26" s="21" t="n">
        <x:f>Base_Costos!O26</x:f>
        <x:v>12</x:v>
      </x:c>
    </x:row>
    <x:row r="27">
      <x:c r="A27" s="21" t="str">
        <x:f>Base_Costos!C27</x:f>
        <x:v>MTL150-9</x:v>
      </x:c>
      <x:c r="B27" s="21" t="str">
        <x:f>Base_Costos!D27</x:f>
        <x:v>MINI TORNO CON ACCESORIOS</x:v>
      </x:c>
      <x:c r="C27" s="21" t="str">
        <x:f>Base_Costos!B27</x:f>
        <x:v>Taladros / 220V / Batería / Accesorios</x:v>
      </x:c>
      <x:c r="D27" s="22" t="n">
        <x:f>Base_Costos!K27</x:f>
        <x:v>89500</x:v>
      </x:c>
      <x:c r="E27" s="21" t="str">
        <x:v>Mini torno con accesorios Lusqtoff. Producto Lusqtoff para uso profesional, taller, hogar o mantenimiento. Consultar disponibilidad y garantía oficial. Consultanos stock y envío.</x:v>
      </x:c>
      <x:c r="F27" s="21" t="n">
        <x:f>Base_Costos!O27</x:f>
        <x:v>12</x:v>
      </x:c>
    </x:row>
    <x:row r="28">
      <x:c r="A28" s="21" t="str">
        <x:f>Base_Costos!C28</x:f>
        <x:v>GP-810</x:v>
      </x:c>
      <x:c r="B28" s="21" t="str">
        <x:f>Base_Costos!D28</x:f>
        <x:v>MARTILLO DEMOLEDOR 220V</x:v>
      </x:c>
      <x:c r="C28" s="21" t="str">
        <x:f>Base_Costos!B28</x:f>
        <x:v>Taladros / 220V / Batería / Accesorios</x:v>
      </x:c>
      <x:c r="D28" s="22" t="n">
        <x:f>Base_Costos!K28</x:f>
        <x:v>156500</x:v>
      </x:c>
      <x:c r="E28" s="21" t="str">
        <x:v>Martillo demoledor 220v Lusqtoff. Equipo de alta rotación para obra, taller y mantenimiento. Ideal para perforación, fijación y trabajos de uso intensivo según el modelo. Consultanos stock y envío.</x:v>
      </x:c>
      <x:c r="F28" s="21" t="n">
        <x:f>Base_Costos!O28</x:f>
        <x:v>13</x:v>
      </x:c>
    </x:row>
    <x:row r="29">
      <x:c r="A29" s="21" t="str">
        <x:f>Base_Costos!C29</x:f>
        <x:v>DE-16HEX</x:v>
      </x:c>
      <x:c r="B29" s="21" t="str">
        <x:f>Base_Costos!D29</x:f>
        <x:v>MARTILLO DEMOLEDOR ENCASTRE HEXAGONAL 1700W</x:v>
      </x:c>
      <x:c r="C29" s="21" t="str">
        <x:f>Base_Costos!B29</x:f>
        <x:v>Taladros / 220V / Batería / Accesorios</x:v>
      </x:c>
      <x:c r="D29" s="22" t="n">
        <x:f>Base_Costos!K29</x:f>
        <x:v>355500</x:v>
      </x:c>
      <x:c r="E29" s="21" t="str">
        <x:v>Martillo demoledor encastre hexagonal 1700w Lusqtoff. Equipo de alta rotación para obra, taller y mantenimiento. Ideal para perforación, fijación y trabajos de uso intensivo según el modelo. Consultanos stock y envío.</x:v>
      </x:c>
      <x:c r="F29" s="21" t="n">
        <x:f>Base_Costos!O29</x:f>
        <x:v>13</x:v>
      </x:c>
    </x:row>
    <x:row r="30">
      <x:c r="A30" s="21" t="str">
        <x:f>Base_Costos!C30</x:f>
        <x:v>GHL253-8</x:v>
      </x:c>
      <x:c r="B30" s="21" t="str">
        <x:f>Base_Costos!D30</x:f>
        <x:v>GABINETE RACING 253 PIEZAS LUSQTOFF</x:v>
      </x:c>
      <x:c r="C30" s="21" t="str">
        <x:f>Base_Costos!B30</x:f>
        <x:v>Set de Herramientas Completos / Individuales</x:v>
      </x:c>
      <x:c r="D30" s="22" t="n">
        <x:f>Base_Costos!K30</x:f>
        <x:v>1029000</x:v>
      </x:c>
      <x:c r="E30" s="21" t="str">
        <x:v>Gabinete racing 253 piezas lusqtoff Lusqtoff. Herramienta o conjunto para organización y trabajo de taller. Producto práctico para mecánica, mantenimiento y uso profesional. Consultanos stock y envío.</x:v>
      </x:c>
      <x:c r="F30" s="21" t="n">
        <x:f>Base_Costos!O30</x:f>
        <x:v>14</x:v>
      </x:c>
    </x:row>
    <x:row r="31">
      <x:c r="A31" s="21" t="str">
        <x:f>Base_Costos!C31</x:f>
        <x:v>LCHP6-8</x:v>
      </x:c>
      <x:c r="B31" s="21" t="str">
        <x:f>Base_Costos!D31</x:f>
        <x:v>CARRO PORTA HERRAMIENTAS ORGANIZADOR</x:v>
      </x:c>
      <x:c r="C31" s="21" t="str">
        <x:f>Base_Costos!B31</x:f>
        <x:v>Set de Herramientas Completos / Individuales</x:v>
      </x:c>
      <x:c r="D31" s="22" t="n">
        <x:f>Base_Costos!K31</x:f>
        <x:v>651300</x:v>
      </x:c>
      <x:c r="E31" s="21" t="str">
        <x:v>Carro porta herramientas organizador Lusqtoff. Herramienta o conjunto para organización y trabajo de taller. Producto práctico para mecánica, mantenimiento y uso profesional. Consultanos stock y envío.</x:v>
      </x:c>
      <x:c r="F31" s="21" t="n">
        <x:f>Base_Costos!O31</x:f>
        <x:v>15</x:v>
      </x:c>
    </x:row>
    <x:row r="32">
      <x:c r="A32" s="21" t="str">
        <x:f>Base_Costos!C32</x:f>
        <x:v>LB106</x:v>
      </x:c>
      <x:c r="B32" s="21" t="str">
        <x:f>Base_Costos!D32</x:f>
        <x:v>CARRO PORTA HERRAMIENTAS ORGANIZADOR 3 CAJAS</x:v>
      </x:c>
      <x:c r="C32" s="21" t="str">
        <x:f>Base_Costos!B32</x:f>
        <x:v>Set de Herramientas Completos / Individuales</x:v>
      </x:c>
      <x:c r="D32" s="22" t="n">
        <x:f>Base_Costos!K32</x:f>
        <x:v>298000</x:v>
      </x:c>
      <x:c r="E32" s="21" t="str">
        <x:v>Carro porta herramientas organizador 3 cajas Lusqtoff. Herramienta o conjunto para organización y trabajo de taller. Producto práctico para mecánica, mantenimiento y uso profesional. Consultanos stock y envío.</x:v>
      </x:c>
      <x:c r="F32" s="21" t="n">
        <x:f>Base_Costos!O32</x:f>
        <x:v>15</x:v>
      </x:c>
    </x:row>
    <x:row r="33">
      <x:c r="A33" s="21" t="str">
        <x:f>Base_Costos!C33</x:f>
        <x:v>BTCL7-8</x:v>
      </x:c>
      <x:c r="B33" s="21" t="str">
        <x:f>Base_Costos!D33</x:f>
        <x:v>BANCO DE TRABAJO CONVERTIBLE 7 EN 1</x:v>
      </x:c>
      <x:c r="C33" s="21" t="str">
        <x:f>Base_Costos!B33</x:f>
        <x:v>Set de Herramientas Completos / Individuales</x:v>
      </x:c>
      <x:c r="D33" s="22" t="n">
        <x:f>Base_Costos!K33</x:f>
        <x:v>441800</x:v>
      </x:c>
      <x:c r="E33" s="21" t="str">
        <x:v>Banco de trabajo convertible 7 en 1 Lusqtoff. Herramienta o conjunto para organización y trabajo de taller. Producto práctico para mecánica, mantenimiento y uso profesional. Consultanos stock y envío.</x:v>
      </x:c>
      <x:c r="F33" s="21" t="n">
        <x:f>Base_Costos!O33</x:f>
        <x:v>16</x:v>
      </x:c>
    </x:row>
    <x:row r="34">
      <x:c r="A34" s="21" t="str">
        <x:f>Base_Costos!C34</x:f>
        <x:v>LQCTI07-8K</x:v>
      </x:c>
      <x:c r="B34" s="21" t="str">
        <x:f>Base_Costos!D34</x:f>
        <x:v>CAJA DE HERRAMIENTAS CON 106 PCS + TAL ADRO PERCUTOR 710W</x:v>
      </x:c>
      <x:c r="C34" s="21" t="str">
        <x:f>Base_Costos!B34</x:f>
        <x:v>Set de Herramientas Completos / Individuales</x:v>
      </x:c>
      <x:c r="D34" s="22" t="n">
        <x:f>Base_Costos!K34</x:f>
        <x:v>283600</x:v>
      </x:c>
      <x:c r="E34" s="21" t="str">
        <x:v>Caja de herramientas con 106 pcs + tal adro percutor 710w Lusqtoff. Herramienta o conjunto para organización y trabajo de taller. Producto práctico para mecánica, mantenimiento y uso profesional. Consultanos stock y envío.</x:v>
      </x:c>
      <x:c r="F34" s="21" t="n">
        <x:f>Base_Costos!O34</x:f>
        <x:v>16</x:v>
      </x:c>
    </x:row>
    <x:row r="35">
      <x:c r="A35" s="21" t="str">
        <x:f>Base_Costos!C35</x:f>
        <x:v>BHL3.9</x:v>
      </x:c>
      <x:c r="B35" s="21" t="str">
        <x:f>Base_Costos!D35</x:f>
        <x:v>BANCO PORTAHERRAMIENTAS CON 3</x:v>
      </x:c>
      <x:c r="C35" s="21" t="str">
        <x:f>Base_Costos!B35</x:f>
        <x:v>Set de Herramientas Completos / Individuales</x:v>
      </x:c>
      <x:c r="D35" s="22" t="n">
        <x:f>Base_Costos!K35</x:f>
        <x:v>266000</x:v>
      </x:c>
      <x:c r="E35" s="21" t="str">
        <x:v>Banco portaherramientas con 3 Lusqtoff. Herramienta o conjunto para organización y trabajo de taller. Producto práctico para mecánica, mantenimiento y uso profesional. Consultanos stock y envío.</x:v>
      </x:c>
      <x:c r="F35" s="21" t="n">
        <x:f>Base_Costos!O35</x:f>
        <x:v>17</x:v>
      </x:c>
    </x:row>
    <x:row r="36">
      <x:c r="A36" s="21" t="str">
        <x:f>Base_Costos!C36</x:f>
        <x:v>TC-1350</x:v>
      </x:c>
      <x:c r="B36" s="21" t="str">
        <x:f>Base_Costos!D36</x:f>
        <x:v>MESA PORTA HERRAMIENTAS</x:v>
      </x:c>
      <x:c r="C36" s="21" t="str">
        <x:f>Base_Costos!B36</x:f>
        <x:v>Set de Herramientas Completos / Individuales</x:v>
      </x:c>
      <x:c r="D36" s="22" t="n">
        <x:f>Base_Costos!K36</x:f>
        <x:v>124800</x:v>
      </x:c>
      <x:c r="E36" s="21" t="str">
        <x:v>Mesa porta herramientas Lusqtoff. Herramienta o conjunto para organización y trabajo de taller. Producto práctico para mecánica, mantenimiento y uso profesional. Consultanos stock y envío.</x:v>
      </x:c>
      <x:c r="F36" s="21" t="n">
        <x:f>Base_Costos!O36</x:f>
        <x:v>17</x:v>
      </x:c>
    </x:row>
    <x:row r="37">
      <x:c r="A37" s="21" t="str">
        <x:f>Base_Costos!C37</x:f>
        <x:v>18120</x:v>
      </x:c>
      <x:c r="B37" s="21" t="str">
        <x:f>Base_Costos!D37</x:f>
        <x:v>CAJA DE HERRAMIENTA 23" CIERRE METALICO</x:v>
      </x:c>
      <x:c r="C37" s="21" t="str">
        <x:f>Base_Costos!B37</x:f>
        <x:v>Set de Herramientas Completos / Individuales</x:v>
      </x:c>
      <x:c r="D37" s="22" t="n">
        <x:f>Base_Costos!K37</x:f>
        <x:v>57400</x:v>
      </x:c>
      <x:c r="E37" s="21" t="str">
        <x:v>Caja de herramienta 23" cierre metalico Lusqtoff. Herramienta o conjunto para organización y trabajo de taller. Producto práctico para mecánica, mantenimiento y uso profesional. Consultanos stock y envío.</x:v>
      </x:c>
      <x:c r="F37" s="21" t="n">
        <x:f>Base_Costos!O37</x:f>
        <x:v>18</x:v>
      </x:c>
    </x:row>
    <x:row r="38">
      <x:c r="A38" s="21" t="str">
        <x:f>Base_Costos!C38</x:f>
        <x:v>L8100</x:v>
      </x:c>
      <x:c r="B38" s="21" t="str">
        <x:f>Base_Costos!D38</x:f>
        <x:v>CAJA DE HERRAMIENTAS 14" CIERRE METALICO</x:v>
      </x:c>
      <x:c r="C38" s="21" t="str">
        <x:f>Base_Costos!B38</x:f>
        <x:v>Set de Herramientas Completos / Individuales</x:v>
      </x:c>
      <x:c r="D38" s="22" t="n">
        <x:f>Base_Costos!K38</x:f>
        <x:v>20200</x:v>
      </x:c>
      <x:c r="E38" s="21" t="str">
        <x:v>Caja de herramientas 14" cierre metalico Lusqtoff. Herramienta o conjunto para organización y trabajo de taller. Producto práctico para mecánica, mantenimiento y uso profesional. Consultanos stock y envío.</x:v>
      </x:c>
      <x:c r="F38" s="21" t="n">
        <x:f>Base_Costos!O38</x:f>
        <x:v>18</x:v>
      </x:c>
    </x:row>
    <x:row r="39">
      <x:c r="A39" s="21" t="str">
        <x:f>Base_Costos!C39</x:f>
        <x:v>MOCL12-9</x:v>
      </x:c>
      <x:c r="B39" s="21" t="str">
        <x:f>Base_Costos!D39</x:f>
        <x:v>MOCHILA PORTA HERRAMIENTAS</x:v>
      </x:c>
      <x:c r="C39" s="21" t="str">
        <x:f>Base_Costos!B39</x:f>
        <x:v>Set de Herramientas Completos / Individuales</x:v>
      </x:c>
      <x:c r="D39" s="22" t="n">
        <x:f>Base_Costos!K39</x:f>
        <x:v>81000</x:v>
      </x:c>
      <x:c r="E39" s="21" t="str">
        <x:v>Mochila porta herramientas Lusqtoff. Herramienta o conjunto para organización y trabajo de taller. Producto práctico para mecánica, mantenimiento y uso profesional. Consultanos stock y envío.</x:v>
      </x:c>
      <x:c r="F39" s="21" t="n">
        <x:f>Base_Costos!O39</x:f>
        <x:v>19</x:v>
      </x:c>
    </x:row>
    <x:row r="40">
      <x:c r="A40" s="21" t="str">
        <x:f>Base_Costos!C40</x:f>
        <x:v>SHL108-7</x:v>
      </x:c>
      <x:c r="B40" s="21" t="str">
        <x:f>Base_Costos!D40</x:f>
        <x:v>SET 108 PIEZAS GARDEN PLUS</x:v>
      </x:c>
      <x:c r="C40" s="21" t="str">
        <x:f>Base_Costos!B40</x:f>
        <x:v>Set de Herramientas Completos / Individuales</x:v>
      </x:c>
      <x:c r="D40" s="22" t="n">
        <x:f>Base_Costos!K40</x:f>
        <x:v>127900</x:v>
      </x:c>
      <x:c r="E40" s="21" t="str">
        <x:v>Set 108 piezas garden plus Lusqtoff. Herramienta o conjunto para organización y trabajo de taller. Producto práctico para mecánica, mantenimiento y uso profesional. Consultanos stock y envío.</x:v>
      </x:c>
      <x:c r="F40" s="21" t="n">
        <x:f>Base_Costos!O40</x:f>
        <x:v>19</x:v>
      </x:c>
    </x:row>
    <x:row r="41">
      <x:c r="A41" s="21" t="str">
        <x:f>Base_Costos!C41</x:f>
        <x:v>11032</x:v>
      </x:c>
      <x:c r="B41" s="21" t="str">
        <x:f>Base_Costos!D41</x:f>
        <x:v>SET TERRAJAS Y MACHOS 40 P</x:v>
      </x:c>
      <x:c r="C41" s="21" t="str">
        <x:f>Base_Costos!B41</x:f>
        <x:v>Set de Herramientas Completos / Individuales</x:v>
      </x:c>
      <x:c r="D41" s="22" t="n">
        <x:f>Base_Costos!K41</x:f>
        <x:v>87900</x:v>
      </x:c>
      <x:c r="E41" s="21" t="str">
        <x:v>Set terrajas y machos 40 p Lusqtoff. Herramienta o conjunto para organización y trabajo de taller. Producto práctico para mecánica, mantenimiento y uso profesional. Consultanos stock y envío.</x:v>
      </x:c>
      <x:c r="F41" s="21" t="n">
        <x:f>Base_Costos!O41</x:f>
        <x:v>19</x:v>
      </x:c>
    </x:row>
    <x:row r="42">
      <x:c r="A42" s="21" t="str">
        <x:f>Base_Costos!C42</x:f>
        <x:v>LQCP125</x:v>
      </x:c>
      <x:c r="B42" s="21" t="str">
        <x:f>Base_Costos!D42</x:f>
        <x:v>CAJA DE HERRAMIENTAS PLEGABLE 64 piezas</x:v>
      </x:c>
      <x:c r="C42" s="21" t="str">
        <x:f>Base_Costos!B42</x:f>
        <x:v>Set de Herramientas Completos / Individuales</x:v>
      </x:c>
      <x:c r="D42" s="22" t="n">
        <x:f>Base_Costos!K42</x:f>
        <x:v>259000</x:v>
      </x:c>
      <x:c r="E42" s="21" t="str">
        <x:v>Caja de herramientas plegable 64 piezas Lusqtoff. Herramienta o conjunto para organización y trabajo de taller. Producto práctico para mecánica, mantenimiento y uso profesional. Consultanos stock y envío.</x:v>
      </x:c>
      <x:c r="F42" s="21" t="n">
        <x:f>Base_Costos!O42</x:f>
        <x:v>20</x:v>
      </x:c>
    </x:row>
    <x:row r="43">
      <x:c r="A43" s="21" t="str">
        <x:f>Base_Costos!C43</x:f>
        <x:v>11048</x:v>
      </x:c>
      <x:c r="B43" s="21" t="str">
        <x:f>Base_Costos!D43</x:f>
        <x:v>JUEGO DE PUNTAS Y BOCALLAVES 35 PCS</x:v>
      </x:c>
      <x:c r="C43" s="21" t="str">
        <x:f>Base_Costos!B43</x:f>
        <x:v>Set de Herramientas Completos / Individuales</x:v>
      </x:c>
      <x:c r="D43" s="22" t="n">
        <x:f>Base_Costos!K43</x:f>
        <x:v>76400</x:v>
      </x:c>
      <x:c r="E43" s="21" t="str">
        <x:v>Juego de puntas y bocallaves 35 pcs Lusqtoff. Herramienta o conjunto para organización y trabajo de taller. Producto práctico para mecánica, mantenimiento y uso profesional. Consultanos stock y envío.</x:v>
      </x:c>
      <x:c r="F43" s="21" t="n">
        <x:f>Base_Costos!O43</x:f>
        <x:v>20</x:v>
      </x:c>
    </x:row>
    <x:row r="44">
      <x:c r="A44" s="21" t="str">
        <x:f>Base_Costos!C44</x:f>
        <x:v>SHL150-9</x:v>
      </x:c>
      <x:c r="B44" s="21" t="str">
        <x:f>Base_Costos!D44</x:f>
        <x:v>SET RACING LUSQTOFF 150 PIEZAS</x:v>
      </x:c>
      <x:c r="C44" s="21" t="str">
        <x:f>Base_Costos!B44</x:f>
        <x:v>Set de Herramientas Completos / Individuales</x:v>
      </x:c>
      <x:c r="D44" s="22" t="n">
        <x:f>Base_Costos!K44</x:f>
        <x:v>393200</x:v>
      </x:c>
      <x:c r="E44" s="21" t="str">
        <x:v>Set racing lusqtoff 150 piezas Lusqtoff. Herramienta o conjunto para organización y trabajo de taller. Producto práctico para mecánica, mantenimiento y uso profesional. Consultanos stock y envío.</x:v>
      </x:c>
      <x:c r="F44" s="21" t="n">
        <x:f>Base_Costos!O44</x:f>
        <x:v>20</x:v>
      </x:c>
    </x:row>
    <x:row r="45">
      <x:c r="A45" s="21" t="str">
        <x:f>Base_Costos!C45</x:f>
        <x:v>L4906</x:v>
      </x:c>
      <x:c r="B45" s="21" t="str">
        <x:f>Base_Costos!D45</x:f>
        <x:v>JUEGO DE 14 HERRAMIENTAS</x:v>
      </x:c>
      <x:c r="C45" s="21" t="str">
        <x:f>Base_Costos!B45</x:f>
        <x:v>Set de Herramientas Completos / Individuales</x:v>
      </x:c>
      <x:c r="D45" s="22" t="n">
        <x:f>Base_Costos!K45</x:f>
        <x:v>39400</x:v>
      </x:c>
      <x:c r="E45" s="21" t="str">
        <x:v>Juego de 14 herramientas Lusqtoff. Herramienta o conjunto para organización y trabajo de taller. Producto práctico para mecánica, mantenimiento y uso profesional. Consultanos stock y envío.</x:v>
      </x:c>
      <x:c r="F45" s="21" t="n">
        <x:f>Base_Costos!O45</x:f>
        <x:v>21</x:v>
      </x:c>
    </x:row>
    <x:row r="46">
      <x:c r="A46" s="21" t="str">
        <x:f>Base_Costos!C46</x:f>
        <x:v>L4904</x:v>
      </x:c>
      <x:c r="B46" s="21" t="str">
        <x:f>Base_Costos!D46</x:f>
        <x:v>JUEGO DE 67 HERRAMIENTAS</x:v>
      </x:c>
      <x:c r="C46" s="21" t="str">
        <x:f>Base_Costos!B46</x:f>
        <x:v>Set de Herramientas Completos / Individuales</x:v>
      </x:c>
      <x:c r="D46" s="22" t="n">
        <x:f>Base_Costos!K46</x:f>
        <x:v>115400</x:v>
      </x:c>
      <x:c r="E46" s="21" t="str">
        <x:v>Juego de 67 herramientas Lusqtoff. Herramienta o conjunto para organización y trabajo de taller. Producto práctico para mecánica, mantenimiento y uso profesional. Consultanos stock y envío.</x:v>
      </x:c>
      <x:c r="F46" s="21" t="n">
        <x:f>Base_Costos!O46</x:f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df22b2fa23a6429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0" hidden="0" customWidth="1"/>
    <x:col min="4" max="4" width="62" hidden="0" customWidth="1"/>
    <x:col min="5" max="5" width="18" hidden="0" customWidth="1"/>
    <x:col min="6" max="6" width="24" hidden="0" customWidth="1"/>
  </x:cols>
  <x:sheetData>
    <x:row r="1">
      <x:c r="A1" s="38" t="str">
        <x:v>Página PDF</x:v>
      </x:c>
      <x:c r="B1" s="38" t="str">
        <x:v>Categoría</x:v>
      </x:c>
      <x:c r="C1" s="38" t="str">
        <x:v>Código</x:v>
      </x:c>
      <x:c r="D1" s="38" t="str">
        <x:v>Producto</x:v>
      </x:c>
      <x:c r="E1" s="38" t="str">
        <x:v>Precio compra</x:v>
      </x:c>
      <x:c r="F1" s="38" t="str">
        <x:v>Motivo</x:v>
      </x:c>
    </x:row>
    <x:row r="2">
      <x:c r="A2" s="54" t="n">
        <x:v>3</x:v>
      </x:c>
      <x:c r="B2" s="54" t="str">
        <x:v>Amoladoras y Corte</x:v>
      </x:c>
      <x:c r="C2" s="54" t="str">
        <x:v>ATG18-7</x:v>
      </x:c>
      <x:c r="D2" s="54" t="str">
        <x:v>SET DE HERRAMIENTAS A BATERÍA 18V (TALADRO + AMOLADORA)</x:v>
      </x:c>
      <x:c r="E2" s="58" t="n">
        <x:v>199000</x:v>
      </x:c>
      <x:c r="F2" s="54" t="str">
        <x:v>Verificar código/texto contra la página del PDF antes de publicar lista final.</x:v>
      </x:c>
    </x:row>
    <x:row r="3">
      <x:c r="A3" s="54" t="n">
        <x:v>4</x:v>
      </x:c>
      <x:c r="B3" s="54" t="str">
        <x:v>Amoladoras y Corte</x:v>
      </x:c>
      <x:c r="C3" s="54" t="str">
        <x:v>AML1300B-8</x:v>
      </x:c>
      <x:c r="D3" s="54" t="str">
        <x:v>AMOLADORA ANGULAR 115 MM 1300</x:v>
      </x:c>
      <x:c r="E3" s="58" t="n">
        <x:v>69676.2</x:v>
      </x:c>
      <x:c r="F3" s="54" t="str">
        <x:v>Verificar código/texto contra la página del PDF antes de publicar lista final.</x:v>
      </x:c>
    </x:row>
    <x:row r="4">
      <x:c r="A4" s="54" t="n">
        <x:v>4</x:v>
      </x:c>
      <x:c r="B4" s="54" t="str">
        <x:v>Amoladoras y Corte</x:v>
      </x:c>
      <x:c r="C4" s="54" t="str">
        <x:v>AML2200-8</x:v>
      </x:c>
      <x:c r="D4" s="54" t="str">
        <x:v>AMOLADORA ANGULAR 180MM 2200W LUSQTOFF</x:v>
      </x:c>
      <x:c r="E4" s="58" t="n">
        <x:v>186589.71</x:v>
      </x:c>
      <x:c r="F4" s="54" t="str">
        <x:v>Verificar código/texto contra la página del PDF antes de publicar lista final.</x:v>
      </x:c>
    </x:row>
    <x:row r="5">
      <x:c r="A5" s="54" t="n">
        <x:v>4</x:v>
      </x:c>
      <x:c r="B5" s="54" t="str">
        <x:v>Amoladoras y Corte</x:v>
      </x:c>
      <x:c r="C5" s="54" t="str">
        <x:v>AML850-9</x:v>
      </x:c>
      <x:c r="D5" s="54" t="str">
        <x:v>AMOLADORA ANGULAR 850W</x:v>
      </x:c>
      <x:c r="E5" s="58" t="n">
        <x:v>43548.4</x:v>
      </x:c>
      <x:c r="F5" s="54" t="str">
        <x:v>Verificar código/texto contra la página del PDF antes de publicar lista final.</x:v>
      </x:c>
    </x:row>
    <x:row r="6">
      <x:c r="A6" s="54" t="n">
        <x:v>6</x:v>
      </x:c>
      <x:c r="B6" s="54" t="str">
        <x:v>Taladros / 220V / Batería / Accesorios</x:v>
      </x:c>
      <x:c r="C6" s="54" t="str">
        <x:v>ATL710-8</x:v>
      </x:c>
      <x:c r="D6" s="54" t="str">
        <x:v>ATORNILLADOR CON TOPE</x:v>
      </x:c>
      <x:c r="E6" s="58" t="n">
        <x:v>77880</x:v>
      </x:c>
      <x:c r="F6" s="54" t="str">
        <x:v>Verificar código/texto contra la página del PDF antes de publicar lista final.</x:v>
      </x:c>
    </x:row>
    <x:row r="7">
      <x:c r="A7" s="54" t="n">
        <x:v>6</x:v>
      </x:c>
      <x:c r="B7" s="54" t="str">
        <x:v>Taladros / 220V / Batería / Accesorios</x:v>
      </x:c>
      <x:c r="C7" s="54" t="str">
        <x:v>ATL18-9B</x:v>
      </x:c>
      <x:c r="D7" s="54" t="str">
        <x:v>TALADRO 13 MM EN KIT CON 2 BATERIAS, VALIJA Y MECHAS</x:v>
      </x:c>
      <x:c r="E7" s="58" t="n">
        <x:v>112954</x:v>
      </x:c>
      <x:c r="F7" s="54" t="str">
        <x:v>Verificar código/texto contra la página del PDF antes de publicar lista final.</x:v>
      </x:c>
    </x:row>
    <x:row r="8">
      <x:c r="A8" s="54" t="n">
        <x:v>6</x:v>
      </x:c>
      <x:c r="B8" s="54" t="str">
        <x:v>Taladros / 220V / Batería / Accesorios</x:v>
      </x:c>
      <x:c r="C8" s="54" t="str">
        <x:v>TIL45-8BK</x:v>
      </x:c>
      <x:c r="D8" s="54" t="str">
        <x:v>TALADRO ATORNILLADOR PERCUTOR BRUSHLESS 13MM A BATERIA</x:v>
      </x:c>
      <x:c r="E8" s="58" t="n">
        <x:v>129607.51</x:v>
      </x:c>
      <x:c r="F8" s="54" t="str">
        <x:v>Verificar código/texto contra la página del PDF antes de publicar lista final.</x:v>
      </x:c>
    </x:row>
    <x:row r="9">
      <x:c r="A9" s="54" t="n">
        <x:v>7</x:v>
      </x:c>
      <x:c r="B9" s="54" t="str">
        <x:v>Taladros / 220V / Batería / Accesorios</x:v>
      </x:c>
      <x:c r="C9" s="54" t="str">
        <x:v>TAGP12-7A</x:v>
      </x:c>
      <x:c r="D9" s="54" t="str">
        <x:v>TALADRO ATORNILLADOR 12V</x:v>
      </x:c>
      <x:c r="E9" s="58" t="n">
        <x:v>77528</x:v>
      </x:c>
      <x:c r="F9" s="54" t="str">
        <x:v>Verificar código/texto contra la página del PDF antes de publicar lista final.</x:v>
      </x:c>
    </x:row>
    <x:row r="10">
      <x:c r="A10" s="54" t="n">
        <x:v>8</x:v>
      </x:c>
      <x:c r="B10" s="54" t="str">
        <x:v>Taladros / 220V / Batería / Accesorios</x:v>
      </x:c>
      <x:c r="C10" s="54" t="str">
        <x:v>RML4000-9BK</x:v>
      </x:c>
      <x:c r="D10" s="54" t="str">
        <x:v>ROTOMARTILLO INALAMBRICO SDS PLUS 2.5J</x:v>
      </x:c>
      <x:c r="E10" s="58" t="n">
        <x:v>135000</x:v>
      </x:c>
      <x:c r="F10" s="54" t="str">
        <x:v>Verificar código/texto contra la página del PDF antes de publicar lista final.</x:v>
      </x:c>
    </x:row>
    <x:row r="11">
      <x:c r="A11" s="54" t="n">
        <x:v>9</x:v>
      </x:c>
      <x:c r="B11" s="54" t="str">
        <x:v>Taladros / 220V / Batería / Accesorios</x:v>
      </x:c>
      <x:c r="C11" s="54" t="str">
        <x:v>JATL82-8</x:v>
      </x:c>
      <x:c r="D11" s="54" t="str">
        <x:v>JUEGO DE ACCESORIOS PARA TALADRO</x:v>
      </x:c>
      <x:c r="E11" s="58" t="n">
        <x:v>44157.36</x:v>
      </x:c>
      <x:c r="F11" s="54" t="str">
        <x:v>Verificar código/texto contra la página del PDF antes de publicar lista final.</x:v>
      </x:c>
    </x:row>
    <x:row r="12">
      <x:c r="A12" s="54" t="n">
        <x:v>10</x:v>
      </x:c>
      <x:c r="B12" s="54" t="str">
        <x:v>Taladros / 220V / Batería / Accesorios</x:v>
      </x:c>
      <x:c r="C12" s="54" t="str">
        <x:v>KATL-8</x:v>
      </x:c>
      <x:c r="D12" s="54" t="str">
        <x:v>KIT AMOLADORA 720W + TALADRO</x:v>
      </x:c>
      <x:c r="E12" s="58" t="n">
        <x:v>100596.19</x:v>
      </x:c>
      <x:c r="F12" s="54" t="str">
        <x:v>Verificar código/texto contra la página del PDF antes de publicar lista final.</x:v>
      </x:c>
    </x:row>
    <x:row r="13">
      <x:c r="A13" s="54" t="n">
        <x:v>10</x:v>
      </x:c>
      <x:c r="B13" s="54" t="str">
        <x:v>Taladros / 220V / Batería / Accesorios</x:v>
      </x:c>
      <x:c r="C13" s="54" t="str">
        <x:v>LH-199BK</x:v>
      </x:c>
      <x:c r="D13" s="54" t="str">
        <x:v>TALADRO ATORNILLADOR INALAMBRICO BRUSHLESS GARDEN PLUS</x:v>
      </x:c>
      <x:c r="E13" s="58" t="n">
        <x:v>79999.99</x:v>
      </x:c>
      <x:c r="F13" s="54" t="str">
        <x:v>Verificar código/texto contra la página del PDF antes de publicar lista final.</x:v>
      </x:c>
    </x:row>
    <x:row r="14">
      <x:c r="A14" s="54" t="n">
        <x:v>11</x:v>
      </x:c>
      <x:c r="B14" s="54" t="str">
        <x:v>Taladros / 220V / Batería / Accesorios</x:v>
      </x:c>
      <x:c r="C14" s="54" t="str">
        <x:v>LIGP530-78</x:v>
      </x:c>
      <x:c r="D14" s="54" t="str">
        <x:v>LLAVE DE IMPACTO INALAMBRICA</x:v>
      </x:c>
      <x:c r="E14" s="58" t="n">
        <x:v>161263</x:v>
      </x:c>
      <x:c r="F14" s="54" t="str">
        <x:v>Verificar código/texto contra la página del PDF antes de publicar lista final.</x:v>
      </x:c>
    </x:row>
    <x:row r="15">
      <x:c r="A15" s="54" t="n">
        <x:v>11</x:v>
      </x:c>
      <x:c r="B15" s="54" t="str">
        <x:v>Taladros / 220V / Batería / Accesorios</x:v>
      </x:c>
      <x:c r="C15" s="54" t="str">
        <x:v>LTA750</x:v>
      </x:c>
      <x:c r="D15" s="54" t="str">
        <x:v>TALADRO CON PERCUTOR 750W LUSQTOFF</x:v>
      </x:c>
      <x:c r="E15" s="58" t="n">
        <x:v>43808</x:v>
      </x:c>
      <x:c r="F15" s="54" t="str">
        <x:v>Verificar código/texto contra la página del PDF antes de publicar lista final.</x:v>
      </x:c>
    </x:row>
    <x:row r="16">
      <x:c r="A16" s="54" t="n">
        <x:v>14</x:v>
      </x:c>
      <x:c r="B16" s="54" t="str">
        <x:v>Set de Herramientas Completos / Individuales</x:v>
      </x:c>
      <x:c r="C16" s="54" t="str">
        <x:v>GHL253-8</x:v>
      </x:c>
      <x:c r="D16" s="54" t="str">
        <x:v>GABINETE RACING 253 PIEZAS LUSQTOFF</x:v>
      </x:c>
      <x:c r="E16" s="58" t="n">
        <x:v>722013</x:v>
      </x:c>
      <x:c r="F16" s="54" t="str">
        <x:v>Verificar código/texto contra la página del PDF antes de publicar lista final.</x:v>
      </x:c>
    </x:row>
    <x:row r="17">
      <x:c r="A17" s="54" t="n">
        <x:v>18</x:v>
      </x:c>
      <x:c r="B17" s="54" t="str">
        <x:v>Set de Herramientas Completos / Individuales</x:v>
      </x:c>
      <x:c r="C17" s="54" t="str">
        <x:v>18120</x:v>
      </x:c>
      <x:c r="D17" s="54" t="str">
        <x:v>CAJA DE HERRAMIENTA 23" CIERRE METALICO</x:v>
      </x:c>
      <x:c r="E17" s="58" t="n">
        <x:v>40238.65</x:v>
      </x:c>
      <x:c r="F17" s="54" t="str">
        <x:v>Verificar código/texto contra la página del PDF antes de publicar lista final.</x:v>
      </x:c>
    </x:row>
    <x:row r="18">
      <x:c r="A18" s="54" t="n">
        <x:v>18</x:v>
      </x:c>
      <x:c r="B18" s="54" t="str">
        <x:v>Set de Herramientas Completos / Individuales</x:v>
      </x:c>
      <x:c r="C18" s="54" t="str">
        <x:v>L8100</x:v>
      </x:c>
      <x:c r="D18" s="54" t="str">
        <x:v>CAJA DE HERRAMIENTAS 14" CIERRE METALICO</x:v>
      </x:c>
      <x:c r="E18" s="58" t="n">
        <x:v>14120.08</x:v>
      </x:c>
      <x:c r="F18" s="54" t="str">
        <x:v>Verificar código/texto contra la página del PDF antes de publicar lista final.</x:v>
      </x:c>
    </x:row>
    <x:row r="19">
      <x:c r="A19" s="54" t="n">
        <x:v>21</x:v>
      </x:c>
      <x:c r="B19" s="54" t="str">
        <x:v>Set de Herramientas Completos / Individuales</x:v>
      </x:c>
      <x:c r="C19" s="54" t="str">
        <x:v>L4906</x:v>
      </x:c>
      <x:c r="D19" s="54" t="str">
        <x:v>JUEGO DE 14 HERRAMIENTAS</x:v>
      </x:c>
      <x:c r="E19" s="58" t="n">
        <x:v>27583</x:v>
      </x:c>
      <x:c r="F19" s="54" t="str">
        <x:v>Verificar código/texto contra la página del PDF antes de publicar lista final.</x:v>
      </x:c>
    </x:row>
    <x:row r="20">
      <x:c r="A20" s="54" t="n">
        <x:v>21</x:v>
      </x:c>
      <x:c r="B20" s="54" t="str">
        <x:v>Set de Herramientas Completos / Individuales</x:v>
      </x:c>
      <x:c r="C20" s="54" t="str">
        <x:v>L4904</x:v>
      </x:c>
      <x:c r="D20" s="54" t="str">
        <x:v>JUEGO DE 67 HERRAMIENTAS</x:v>
      </x:c>
      <x:c r="E20" s="58" t="n">
        <x:v>80869.58</x:v>
      </x:c>
      <x:c r="F20" s="54" t="str">
        <x:v>Verificar código/texto contra la página del PDF antes de publicar lista final.</x:v>
      </x:c>
    </x:row>
    <x:row r="21">
      <x:c r="A21" s="54" t="n">
        <x:v>22</x:v>
      </x:c>
      <x:c r="B21" s="54" t="str">
        <x:v>Set de Herramientas Completos / Individuales</x:v>
      </x:c>
      <x:c r="C21" s="54" t="str">
        <x:v>14950</x:v>
      </x:c>
      <x:c r="D21" s="54" t="str">
        <x:v>CAJA DE HERRAMIENTAS 46PIEZAS</x:v>
      </x:c>
      <x:c r="E21" s="58" t="n">
        <x:v>55740.96</x:v>
      </x:c>
      <x:c r="F21" s="54" t="str">
        <x:v>Verificar código/texto contra la página del PDF antes de publicar lista final.</x:v>
      </x:c>
    </x:row>
    <x:row r="22">
      <x:c r="A22" s="54" t="n">
        <x:v>22</x:v>
      </x:c>
      <x:c r="B22" s="54" t="str">
        <x:v>Set de Herramientas Completos / Individuales</x:v>
      </x:c>
      <x:c r="C22" s="54" t="str">
        <x:v>JBL11-8</x:v>
      </x:c>
      <x:c r="D22" s="54" t="str">
        <x:v>JUEGO BOCALLAVES 1/2 11 PZAS</x:v>
      </x:c>
      <x:c r="E22" s="58" t="n">
        <x:v>38940</x:v>
      </x:c>
      <x:c r="F22" s="54" t="str">
        <x:v>Verificar código/texto contra la página del PDF antes de publicar lista final.</x:v>
      </x:c>
    </x:row>
    <x:row r="23">
      <x:c r="A23" s="54" t="n">
        <x:v>23</x:v>
      </x:c>
      <x:c r="B23" s="54" t="str">
        <x:v>Set de Herramientas Completos / Individuales</x:v>
      </x:c>
      <x:c r="C23" s="54" t="str">
        <x:v>JLC9-9</x:v>
      </x:c>
      <x:c r="D23" s="54" t="str">
        <x:v>JUEGO DE LLAVES COMBINADAS CON CRIQUE - 9 PI EZAS</x:v>
      </x:c>
      <x:c r="E23" s="58" t="n">
        <x:v>70857.15</x:v>
      </x:c>
      <x:c r="F23" s="54" t="str">
        <x:v>Verificar código/texto contra la página del PDF antes de publicar lista final.</x:v>
      </x:c>
    </x:row>
    <x:row r="24">
      <x:c r="A24" s="54" t="n">
        <x:v>25</x:v>
      </x:c>
      <x:c r="B24" s="54" t="str">
        <x:v>Set de Herramientas Completos / Individuales</x:v>
      </x:c>
      <x:c r="C24" s="54" t="str">
        <x:v>L6914</x:v>
      </x:c>
      <x:c r="D24" s="54" t="str">
        <x:v>JUEGO DE 6 DESTORNILLADORES TORX</x:v>
      </x:c>
      <x:c r="E24" s="58" t="n">
        <x:v>14806.2</x:v>
      </x:c>
      <x:c r="F24" s="54" t="str">
        <x:v>Verificar código/texto contra la página del PDF antes de publicar lista final.</x:v>
      </x:c>
    </x:row>
    <x:row r="25">
      <x:c r="A25" s="54" t="n">
        <x:v>25</x:v>
      </x:c>
      <x:c r="B25" s="54" t="str">
        <x:v>Set de Herramientas Completos / Individuales</x:v>
      </x:c>
      <x:c r="C25" s="54" t="str">
        <x:v>11023</x:v>
      </x:c>
      <x:c r="D25" s="54" t="str">
        <x:v>SACA FILTROS A FLEJE 73/85MM</x:v>
      </x:c>
      <x:c r="E25" s="58" t="n">
        <x:v>6490.08</x:v>
      </x:c>
      <x:c r="F25" s="54" t="str">
        <x:v>Verificar código/texto contra la página del PDF antes de publicar lista final.</x:v>
      </x:c>
    </x:row>
    <x:row r="26">
      <x:c r="A26" s="54" t="n">
        <x:v>26</x:v>
      </x:c>
      <x:c r="B26" s="54" t="str">
        <x:v>Set de Herramientas Completos / Individuales</x:v>
      </x:c>
      <x:c r="C26" s="54" t="str">
        <x:v>L3406</x:v>
      </x:c>
      <x:c r="D26" s="54" t="str">
        <x:v>LLAVE PARA CANO 3"</x:v>
      </x:c>
      <x:c r="E26" s="58" t="n">
        <x:v>48773.34</x:v>
      </x:c>
      <x:c r="F26" s="54" t="str">
        <x:v>Verificar código/texto contra la página del PDF antes de publicar lista final.</x:v>
      </x:c>
    </x:row>
    <x:row r="27">
      <x:c r="A27" s="54" t="n">
        <x:v>26</x:v>
      </x:c>
      <x:c r="B27" s="54" t="str">
        <x:v>Set de Herramientas Completos / Individuales</x:v>
      </x:c>
      <x:c r="C27" s="54" t="str">
        <x:v>L4274</x:v>
      </x:c>
      <x:c r="D27" s="54" t="str">
        <x:v>PINZA PICO DE LORO 12” 300mm PRO</x:v>
      </x:c>
      <x:c r="E27" s="58" t="n">
        <x:v>12246.89</x:v>
      </x:c>
      <x:c r="F27" s="54" t="str">
        <x:v>Verificar código/texto contra la página del PDF antes de publicar lista final.</x:v>
      </x:c>
    </x:row>
    <x:row r="28">
      <x:c r="A28" s="54" t="n">
        <x:v>27</x:v>
      </x:c>
      <x:c r="B28" s="54" t="str">
        <x:v>Set de Herramientas Completos / Individuales</x:v>
      </x:c>
      <x:c r="C28" s="54" t="str">
        <x:v>4024</x:v>
      </x:c>
      <x:c r="D28" s="54" t="str">
        <x:v>ALICATE CORTE OBLICUO CUERDA DE PIANO 7” (18 Omm)</x:v>
      </x:c>
      <x:c r="E28" s="58" t="n">
        <x:v>9271.97</x:v>
      </x:c>
      <x:c r="F28" s="54" t="str">
        <x:v>Verificar código/texto contra la página del PDF antes de publicar lista final.</x:v>
      </x:c>
    </x:row>
    <x:row r="29">
      <x:c r="A29" s="54" t="n">
        <x:v>27</x:v>
      </x:c>
      <x:c r="B29" s="54" t="str">
        <x:v>Set de Herramientas Completos / Individuales</x:v>
      </x:c>
      <x:c r="C29" s="54" t="str">
        <x:v>14032</x:v>
      </x:c>
      <x:c r="D29" s="54" t="str">
        <x:v>PINZA DE PUNTA MEDIA CAÑA 8” (200mm)</x:v>
      </x:c>
      <x:c r="E29" s="58" t="n">
        <x:v>6472.8</x:v>
      </x:c>
      <x:c r="F29" s="54" t="str">
        <x:v>Verificar código/texto contra la página del PDF antes de publicar lista final.</x:v>
      </x:c>
    </x:row>
    <x:row r="30">
      <x:c r="A30" s="54" t="n">
        <x:v>27</x:v>
      </x:c>
      <x:c r="B30" s="54" t="str">
        <x:v>Set de Herramientas Completos / Individuales</x:v>
      </x:c>
      <x:c r="C30" s="54" t="str">
        <x:v>14070</x:v>
      </x:c>
      <x:c r="D30" s="54" t="str">
        <x:v>PINZA SACABOCADO 9” (230mm)</x:v>
      </x:c>
      <x:c r="E30" s="58" t="n">
        <x:v>16357.22</x:v>
      </x:c>
      <x:c r="F30" s="54" t="str">
        <x:v>Verificar código/texto contra la página del PDF antes de publicar lista final.</x:v>
      </x:c>
    </x:row>
    <x:row r="31">
      <x:c r="A31" s="54" t="n">
        <x:v>28</x:v>
      </x:c>
      <x:c r="B31" s="54" t="str">
        <x:v>Set de Herramientas Completos / Individuales</x:v>
      </x:c>
      <x:c r="C31" s="54" t="str">
        <x:v>14244</x:v>
      </x:c>
      <x:c r="D31" s="54" t="str">
        <x:v>PINZA UNIVERSAL 8” 200mm AISLACION 1000v</x:v>
      </x:c>
      <x:c r="E31" s="58" t="n">
        <x:v>15308.07</x:v>
      </x:c>
      <x:c r="F31" s="54" t="str">
        <x:v>Verificar código/texto contra la página del PDF antes de publicar lista final.</x:v>
      </x:c>
    </x:row>
    <x:row r="32">
      <x:c r="A32" s="54" t="n">
        <x:v>28</x:v>
      </x:c>
      <x:c r="B32" s="54" t="str">
        <x:v>Set de Herramientas Completos / Individuales</x:v>
      </x:c>
      <x:c r="C32" s="54" t="str">
        <x:v>L4078</x:v>
      </x:c>
      <x:c r="D32" s="54" t="str">
        <x:v>TENAZA CARPINTERO 8” 180mm</x:v>
      </x:c>
      <x:c r="E32" s="58" t="n">
        <x:v>6823.24</x:v>
      </x:c>
      <x:c r="F32" s="54" t="str">
        <x:v>Verificar código/texto contra la página del PDF antes de publicar lista final.</x:v>
      </x:c>
    </x:row>
    <x:row r="33">
      <x:c r="A33" s="54" t="n">
        <x:v>29</x:v>
      </x:c>
      <x:c r="B33" s="54" t="str">
        <x:v>Set de Herramientas Completos / Individuales</x:v>
      </x:c>
      <x:c r="C33" s="54" t="str">
        <x:v>14260</x:v>
      </x:c>
      <x:c r="D33" s="54" t="str">
        <x:v>ALICATE CORTE OBLICUO 6” 150mm AISLACION 1000V</x:v>
      </x:c>
      <x:c r="E33" s="58" t="n">
        <x:v>13995.83</x:v>
      </x:c>
      <x:c r="F33" s="54" t="str">
        <x:v>Verificar código/texto contra la página del PDF antes de publicar lista final.</x:v>
      </x:c>
    </x:row>
    <x:row r="34">
      <x:c r="A34" s="54" t="n">
        <x:v>29</x:v>
      </x:c>
      <x:c r="B34" s="54" t="str">
        <x:v>Set de Herramientas Completos / Individuales</x:v>
      </x:c>
      <x:c r="C34" s="54" t="str">
        <x:v>14248</x:v>
      </x:c>
      <x:c r="D34" s="54" t="str">
        <x:v>PINZA DE PUNTA MEDIA CAÑA 6” 150mm AISLACION 1000v</x:v>
      </x:c>
      <x:c r="E34" s="58" t="n">
        <x:v>11809.11</x:v>
      </x:c>
      <x:c r="F34" s="54" t="str">
        <x:v>Verificar código/texto contra la página del PDF antes de publicar lista final.</x:v>
      </x:c>
    </x:row>
    <x:row r="35">
      <x:c r="A35" s="54" t="n">
        <x:v>29</x:v>
      </x:c>
      <x:c r="B35" s="54" t="str">
        <x:v>Set de Herramientas Completos / Individuales</x:v>
      </x:c>
      <x:c r="C35" s="54" t="str">
        <x:v>14254</x:v>
      </x:c>
      <x:c r="D35" s="54" t="str">
        <x:v>PINZA DE PUNTA PLANA 6” 150mm AISLACION 1000V</x:v>
      </x:c>
      <x:c r="E35" s="58" t="n">
        <x:v>13558.05</x:v>
      </x:c>
      <x:c r="F35" s="54" t="str">
        <x:v>Verificar código/texto contra la página del PDF antes de publicar lista final.</x:v>
      </x:c>
    </x:row>
    <x:row r="36">
      <x:c r="A36" s="54" t="n">
        <x:v>30</x:v>
      </x:c>
      <x:c r="B36" s="54" t="str">
        <x:v>Set de Herramientas Completos / Individuales</x:v>
      </x:c>
      <x:c r="C36" s="54" t="str">
        <x:v>L4400</x:v>
      </x:c>
      <x:c r="D36" s="54" t="str">
        <x:v>PINZA DE AVIACION CORTE RECTO 10” 250mm PRO</x:v>
      </x:c>
      <x:c r="E36" s="58" t="n">
        <x:v>9622.4</x:v>
      </x:c>
      <x:c r="F36" s="54" t="str">
        <x:v>Verificar código/texto contra la página del PDF antes de publicar lista final.</x:v>
      </x:c>
    </x:row>
    <x:row r="37">
      <x:c r="A37" s="54" t="n">
        <x:v>30</x:v>
      </x:c>
      <x:c r="B37" s="54" t="str">
        <x:v>Set de Herramientas Completos / Individuales</x:v>
      </x:c>
      <x:c r="C37" s="54" t="str">
        <x:v>L4310</x:v>
      </x:c>
      <x:c r="D37" s="54" t="str">
        <x:v>PINZA DE PRESION CON PLATAFORMA 8” 200mm PRO</x:v>
      </x:c>
      <x:c r="E37" s="58" t="n">
        <x:v>9797.08</x:v>
      </x:c>
      <x:c r="F37" s="54" t="str">
        <x:v>Verificar código/texto contra la página del PDF antes de publicar lista final.</x:v>
      </x:c>
    </x:row>
    <x:row r="38">
      <x:c r="A38" s="54" t="n">
        <x:v>31</x:v>
      </x:c>
      <x:c r="B38" s="54" t="str">
        <x:v>Set de Herramientas Completos / Individuales</x:v>
      </x:c>
      <x:c r="C38" s="54" t="str">
        <x:v>17504</x:v>
      </x:c>
      <x:c r="D38" s="54" t="str">
        <x:v>MARTILLO CARPINTERO 25MM (250 grs)</x:v>
      </x:c>
      <x:c r="E38" s="58" t="n">
        <x:v>7693.03</x:v>
      </x:c>
      <x:c r="F38" s="54" t="str">
        <x:v>Verificar código/texto contra la página del PDF antes de publicar lista final.</x:v>
      </x:c>
    </x:row>
    <x:row r="39">
      <x:c r="A39" s="54" t="n">
        <x:v>31</x:v>
      </x:c>
      <x:c r="B39" s="54" t="str">
        <x:v>Set de Herramientas Completos / Individuales</x:v>
      </x:c>
      <x:c r="C39" s="54" t="str">
        <x:v>117512</x:v>
      </x:c>
      <x:c r="D39" s="54" t="str">
        <x:v>MARTILLO GALPONERO MANGO DE Fibra</x:v>
      </x:c>
      <x:c r="E39" s="58" t="n">
        <x:v>10059.5</x:v>
      </x:c>
      <x:c r="F39" s="54" t="str">
        <x:v>Verificar código/texto contra la página del PDF antes de publicar lista final.</x:v>
      </x:c>
    </x:row>
    <x:row r="40">
      <x:c r="A40" s="54" t="n">
        <x:v>34</x:v>
      </x:c>
      <x:c r="B40" s="54" t="str">
        <x:v>Soldadoras / Accesorios</x:v>
      </x:c>
      <x:c r="C40" s="54" t="str">
        <x:v>INCUT-40</x:v>
      </x:c>
      <x:c r="D40" s="54" t="str">
        <x:v>CORTADORA DE PLASMA PROFESIONAL</x:v>
      </x:c>
      <x:c r="E40" s="58" t="n">
        <x:v>105258.81</x:v>
      </x:c>
      <x:c r="F40" s="54" t="str">
        <x:v>Verificar código/texto contra la página del PDF antes de publicar lista final.</x:v>
      </x:c>
    </x:row>
    <x:row r="41">
      <x:c r="A41" s="54" t="n">
        <x:v>36</x:v>
      </x:c>
      <x:c r="B41" s="54" t="str">
        <x:v>Compresores y Neumática</x:v>
      </x:c>
      <x:c r="C41" s="54" t="str"/>
      <x:c r="D41" s="54" t="str">
        <x:v>Compresor de aire 100 litros eléctrico Lusqtoff LC-40100 mo nofásico naranja 220V SOHz</x:v>
      </x:c>
      <x:c r="E41" s="58" t="n">
        <x:v>486755.78</x:v>
      </x:c>
      <x:c r="F41" s="54" t="str">
        <x:v>Verificar código/texto contra la página del PDF antes de publicar lista final.</x:v>
      </x:c>
    </x:row>
    <x:row r="42">
      <x:c r="A42" s="54" t="n">
        <x:v>37</x:v>
      </x:c>
      <x:c r="B42" s="54" t="str">
        <x:v>Compresores y Neumática</x:v>
      </x:c>
      <x:c r="C42" s="54" t="str">
        <x:v>ANLI20-8A</x:v>
      </x:c>
      <x:c r="D42" s="54" t="str">
        <x:v>ARENADORA NEUMATICA 120PSI</x:v>
      </x:c>
      <x:c r="E42" s="58" t="n">
        <x:v>22743.76</x:v>
      </x:c>
      <x:c r="F42" s="54" t="str">
        <x:v>Verificar código/texto contra la página del PDF antes de publicar lista final.</x:v>
      </x:c>
    </x:row>
    <x:row r="43">
      <x:c r="A43" s="54" t="n">
        <x:v>37</x:v>
      </x:c>
      <x:c r="B43" s="54" t="str">
        <x:v>Compresores y Neumática</x:v>
      </x:c>
      <x:c r="C43" s="54" t="str">
        <x:v>AS-1050</x:v>
      </x:c>
      <x:c r="D43" s="54" t="str">
        <x:v>Pistola de pintar alta presion</x:v>
      </x:c>
      <x:c r="E43" s="58" t="n">
        <x:v>26942.51</x:v>
      </x:c>
      <x:c r="F43" s="54" t="str">
        <x:v>Verificar código/texto contra la página del PDF antes de publicar lista final.</x:v>
      </x:c>
    </x:row>
    <x:row r="44">
      <x:c r="A44" s="54" t="n">
        <x:v>41</x:v>
      </x:c>
      <x:c r="B44" s="54" t="str">
        <x:v>Carpintería y Madera</x:v>
      </x:c>
      <x:c r="C44" s="54" t="str">
        <x:v>LRL300-8</x:v>
      </x:c>
      <x:c r="D44" s="54" t="str">
        <x:v>LIJADORA ROTO ORBITAL</x:v>
      </x:c>
      <x:c r="E44" s="58" t="n">
        <x:v>59482.97</x:v>
      </x:c>
      <x:c r="F44" s="54" t="str">
        <x:v>Verificar código/texto contra la página del PDF antes de publicar lista final.</x:v>
      </x:c>
    </x:row>
    <x:row r="45">
      <x:c r="A45" s="54" t="n">
        <x:v>41</x:v>
      </x:c>
      <x:c r="B45" s="54" t="str">
        <x:v>Carpintería y Madera</x:v>
      </x:c>
      <x:c r="C45" s="54" t="str">
        <x:v>LQLB-250</x:v>
      </x:c>
      <x:c r="D45" s="54" t="str">
        <x:v>Lijadora De Banda Banco Combinada Lusatoff 44 O Watts</x:v>
      </x:c>
      <x:c r="E45" s="58" t="n">
        <x:v>209940.5</x:v>
      </x:c>
      <x:c r="F45" s="54" t="str">
        <x:v>Verificar código/texto contra la página del PDF antes de publicar lista final.</x:v>
      </x:c>
    </x:row>
    <x:row r="46">
      <x:c r="A46" s="54" t="n">
        <x:v>44</x:v>
      </x:c>
      <x:c r="B46" s="54" t="str">
        <x:v>Jardinería / Camping / Exterior</x:v>
      </x:c>
      <x:c r="C46" s="54" t="str">
        <x:v>JK-1008P</x:v>
      </x:c>
      <x:c r="D46" s="54" t="str">
        <x:v>CALEFACTOR EXTERIOR GAS BLANCO CON PELOT A</x:v>
      </x:c>
      <x:c r="E46" s="58" t="n">
        <x:v>272132.54</x:v>
      </x:c>
      <x:c r="F46" s="54" t="str">
        <x:v>Verificar código/texto contra la página del PDF antes de publicar lista final.</x:v>
      </x:c>
    </x:row>
    <x:row r="47">
      <x:c r="A47" s="54" t="n">
        <x:v>44</x:v>
      </x:c>
      <x:c r="B47" s="54" t="str">
        <x:v>Jardinería / Camping / Exterior</x:v>
      </x:c>
      <x:c r="C47" s="54" t="str">
        <x:v>JK-1010</x:v>
      </x:c>
      <x:c r="D47" s="54" t="str">
        <x:v>CALEFACTOR GAS GARRAFA -6M 1000</x:v>
      </x:c>
      <x:c r="E47" s="58" t="n">
        <x:v>477515.59</x:v>
      </x:c>
      <x:c r="F47" s="54" t="str">
        <x:v>Verificar código/texto contra la página del PDF antes de publicar lista final.</x:v>
      </x:c>
    </x:row>
    <x:row r="48">
      <x:c r="A48" s="54" t="n">
        <x:v>45</x:v>
      </x:c>
      <x:c r="B48" s="54" t="str">
        <x:v>Jardinería / Camping / Exterior</x:v>
      </x:c>
      <x:c r="C48" s="54" t="str">
        <x:v>ANL2000-72</x:v>
      </x:c>
      <x:c r="D48" s="54" t="str">
        <x:v>ANAFE ELECTRICO 2 HORNALLAS 1000W</x:v>
      </x:c>
      <x:c r="E48" s="58" t="n">
        <x:v>38940</x:v>
      </x:c>
      <x:c r="F48" s="54" t="str">
        <x:v>Verificar código/texto contra la página del PDF antes de publicar lista final.</x:v>
      </x:c>
    </x:row>
    <x:row r="49">
      <x:c r="A49" s="54" t="n">
        <x:v>46</x:v>
      </x:c>
      <x:c r="B49" s="54" t="str">
        <x:v>Estética y Accesorios Automotor</x:v>
      </x:c>
      <x:c r="C49" s="54" t="str">
        <x:v>HL100-7</x:v>
      </x:c>
      <x:c r="D49" s="54" t="str">
        <x:v>HIDROLAVADORA 70 BAR 1200W</x:v>
      </x:c>
      <x:c r="E49" s="58" t="n">
        <x:v>89238</x:v>
      </x:c>
      <x:c r="F49" s="54" t="str">
        <x:v>Verificar código/texto contra la página del PDF antes de publicar lista final.</x:v>
      </x:c>
    </x:row>
    <x:row r="50">
      <x:c r="A50" s="54" t="n">
        <x:v>46</x:v>
      </x:c>
      <x:c r="B50" s="54" t="str">
        <x:v>Estética y Accesorios Automotor</x:v>
      </x:c>
      <x:c r="C50" s="54" t="str">
        <x:v>LT-590</x:v>
      </x:c>
      <x:c r="D50" s="54" t="str">
        <x:v>HIDROLAVADORA ELÉCTRICA PROFESIONAL 2200W</x:v>
      </x:c>
      <x:c r="E50" s="58" t="n">
        <x:v>456000</x:v>
      </x:c>
      <x:c r="F50" s="54" t="str">
        <x:v>Verificar código/texto contra la página del PDF antes de publicar lista final.</x:v>
      </x:c>
    </x:row>
    <x:row r="51">
      <x:c r="A51" s="54" t="n">
        <x:v>46</x:v>
      </x:c>
      <x:c r="B51" s="54" t="str">
        <x:v>Jardinería / Camping / Exterior</x:v>
      </x:c>
      <x:c r="C51" s="54" t="str">
        <x:v>ESL166-75</x:v>
      </x:c>
      <x:c r="D51" s="54" t="str">
        <x:v>ESCALERA HOGAREÑA 5ESCALONES</x:v>
      </x:c>
      <x:c r="E51" s="58" t="n">
        <x:v>81125.96</x:v>
      </x:c>
      <x:c r="F51" s="54" t="str">
        <x:v>Verificar código/texto contra la página del PDF antes de publicar lista final.</x:v>
      </x:c>
    </x:row>
    <x:row r="52">
      <x:c r="A52" s="54" t="n">
        <x:v>47</x:v>
      </x:c>
      <x:c r="B52" s="54" t="str">
        <x:v>Estética y Accesorios Automotor</x:v>
      </x:c>
      <x:c r="C52" s="54" t="str">
        <x:v>LH-75</x:v>
      </x:c>
      <x:c r="D52" s="54" t="str">
        <x:v>HIDROLAVADORA A EXPLOSION 75</x:v>
      </x:c>
      <x:c r="E52" s="58" t="n">
        <x:v>790020</x:v>
      </x:c>
      <x:c r="F52" s="54" t="str">
        <x:v>Verificar código/texto contra la página del PDF antes de publicar lista final.</x:v>
      </x:c>
    </x:row>
    <x:row r="53">
      <x:c r="A53" s="54" t="n">
        <x:v>47</x:v>
      </x:c>
      <x:c r="B53" s="54" t="str">
        <x:v>Estética y Accesorios Automotor</x:v>
      </x:c>
      <x:c r="C53" s="54" t="str">
        <x:v>HL-120</x:v>
      </x:c>
      <x:c r="D53" s="54" t="str">
        <x:v>HIDROLAVADORA ELECTRICA</x:v>
      </x:c>
      <x:c r="E53" s="58" t="n">
        <x:v>102640.18</x:v>
      </x:c>
      <x:c r="F53" s="54" t="str">
        <x:v>Verificar código/texto contra la página del PDF antes de publicar lista final.</x:v>
      </x:c>
    </x:row>
    <x:row r="54">
      <x:c r="A54" s="54" t="n">
        <x:v>51</x:v>
      </x:c>
      <x:c r="B54" s="54" t="str">
        <x:v>Jardinería / Camping / Exterior</x:v>
      </x:c>
      <x:c r="C54" s="54" t="str">
        <x:v>1C0-10328</x:v>
      </x:c>
      <x:c r="D54" s="54" t="str">
        <x:v>CORTADORA DE CESPED ELECTRICA</x:v>
      </x:c>
      <x:c r="E54" s="58" t="n">
        <x:v>176834.81</x:v>
      </x:c>
      <x:c r="F54" s="54" t="str">
        <x:v>Verificar código/texto contra la página del PDF antes de publicar lista final.</x:v>
      </x:c>
    </x:row>
    <x:row r="55">
      <x:c r="A55" s="54" t="n">
        <x:v>52</x:v>
      </x:c>
      <x:c r="B55" s="54" t="str">
        <x:v>Jardinería / Camping / Exterior</x:v>
      </x:c>
      <x:c r="C55" s="54" t="str">
        <x:v>FPL7</x:v>
      </x:c>
      <x:c r="D55" s="54" t="str">
        <x:v>FUMIGADOR PULVERIZADOR 7LTS</x:v>
      </x:c>
      <x:c r="E55" s="58" t="n">
        <x:v>24492.7</x:v>
      </x:c>
      <x:c r="F55" s="54" t="str">
        <x:v>Verificar código/texto contra la página del PDF antes de publicar lista final.</x:v>
      </x:c>
    </x:row>
    <x:row r="56">
      <x:c r="A56" s="54" t="n">
        <x:v>53</x:v>
      </x:c>
      <x:c r="B56" s="54" t="str">
        <x:v>Jardinería / Camping / Exterior</x:v>
      </x:c>
      <x:c r="C56" s="54" t="str">
        <x:v>17920</x:v>
      </x:c>
      <x:c r="D56" s="54" t="str">
        <x:v>LINTERNA LED DE ALUMINIO CILINDRICA RECARGABLE 6000 LUMENES</x:v>
      </x:c>
      <x:c r="E56" s="58" t="n">
        <x:v>76915.95</x:v>
      </x:c>
      <x:c r="F56" s="54" t="str">
        <x:v>Verificar código/texto contra la página del PDF antes de publicar lista final.</x:v>
      </x:c>
    </x:row>
    <x:row r="57">
      <x:c r="A57" s="54" t="n">
        <x:v>53</x:v>
      </x:c>
      <x:c r="B57" s="54" t="str">
        <x:v>Jardinería / Camping / Exterior</x:v>
      </x:c>
      <x:c r="C57" s="54" t="str">
        <x:v>17905</x:v>
      </x:c>
      <x:c r="D57" s="54" t="str">
        <x:v>LINTERNA LED VINCHA MINERO RECARGABLE</x:v>
      </x:c>
      <x:c r="E57" s="58" t="n">
        <x:v>16944.1</x:v>
      </x:c>
      <x:c r="F57" s="54" t="str">
        <x:v>Verificar código/texto contra la página del PDF antes de publicar lista final.</x:v>
      </x:c>
    </x:row>
    <x:row r="58">
      <x:c r="A58" s="54" t="n">
        <x:v>54</x:v>
      </x:c>
      <x:c r="B58" s="54" t="str">
        <x:v>Jardinería / Camping / Exterior</x:v>
      </x:c>
      <x:c r="C58" s="54" t="str">
        <x:v>17922</x:v>
      </x:c>
      <x:c r="D58" s="54" t="str">
        <x:v>LINTERNA DE ALUMINIO CILINDRICA RECARGABLE 10 00 LUMENES</x:v>
      </x:c>
      <x:c r="E58" s="58" t="n">
        <x:v>40733.62</x:v>
      </x:c>
      <x:c r="F58" s="54" t="str">
        <x:v>Verificar código/texto contra la página del PDF antes de publicar lista final.</x:v>
      </x:c>
    </x:row>
    <x:row r="59">
      <x:c r="A59" s="54" t="n">
        <x:v>54</x:v>
      </x:c>
      <x:c r="B59" s="54" t="str">
        <x:v>Jardinería / Camping / Exterior</x:v>
      </x:c>
      <x:c r="C59" s="54" t="str">
        <x:v>9034</x:v>
      </x:c>
      <x:c r="D59" s="54" t="str">
        <x:v>TIJERA CORTA CERCO MANGO DE FIBRA PROFESIONAL</x:v>
      </x:c>
      <x:c r="E59" s="58" t="n">
        <x:v>34990.08</x:v>
      </x:c>
      <x:c r="F59" s="54" t="str">
        <x:v>Verificar código/texto contra la página del PDF antes de publicar lista final.</x:v>
      </x:c>
    </x:row>
    <x:row r="60">
      <x:c r="A60" s="54" t="n">
        <x:v>55</x:v>
      </x:c>
      <x:c r="B60" s="54" t="str">
        <x:v>Jardinería / Camping / Exterior</x:v>
      </x:c>
      <x:c r="C60" s="54" t="str">
        <x:v>L9070</x:v>
      </x:c>
      <x:c r="D60" s="54" t="str">
        <x:v>HACHA DE MANO 600GR CABO DE FIBRA X6</x:v>
      </x:c>
      <x:c r="E60" s="58" t="n">
        <x:v>13935.24</x:v>
      </x:c>
      <x:c r="F60" s="54" t="str">
        <x:v>Verificar código/texto contra la página del PDF antes de publicar lista final.</x:v>
      </x:c>
    </x:row>
    <x:row r="61">
      <x:c r="A61" s="54" t="n">
        <x:v>55</x:v>
      </x:c>
      <x:c r="B61" s="54" t="str">
        <x:v>Jardinería / Camping / Exterior</x:v>
      </x:c>
      <x:c r="C61" s="54" t="str">
        <x:v>L9051</x:v>
      </x:c>
      <x:c r="D61" s="54" t="str">
        <x:v>TIJERA PARA RAMAS 30"</x:v>
      </x:c>
      <x:c r="E61" s="58" t="n">
        <x:v>27870.48</x:v>
      </x:c>
      <x:c r="F61" s="54" t="str">
        <x:v>Verificar código/texto contra la página del PDF antes de publicar lista final.</x:v>
      </x:c>
    </x:row>
    <x:row r="62">
      <x:c r="A62" s="54" t="n">
        <x:v>57</x:v>
      </x:c>
      <x:c r="B62" s="54" t="str">
        <x:v>Jardinería / Camping / Exterior</x:v>
      </x:c>
      <x:c r="C62" s="54" t="str">
        <x:v>MATLR-9</x:v>
      </x:c>
      <x:c r="D62" s="54" t="str">
        <x:v>MATE 300ML COLOR ROSA</x:v>
      </x:c>
      <x:c r="E62" s="58" t="n">
        <x:v>6967.62</x:v>
      </x:c>
      <x:c r="F62" s="54" t="str">
        <x:v>Verificar código/texto contra la página del PDF antes de publicar lista final.</x:v>
      </x:c>
    </x:row>
    <x:row r="63">
      <x:c r="A63" s="54" t="n">
        <x:v>58</x:v>
      </x:c>
      <x:c r="B63" s="54" t="str">
        <x:v>Jardinería / Camping / Exterior</x:v>
      </x:c>
      <x:c r="C63" s="54" t="str">
        <x:v>TTL420-8N</x:v>
      </x:c>
      <x:c r="D63" s="54" t="str">
        <x:v>TAZA TERMICA NEGRO 420 ML CON TAPA</x:v>
      </x:c>
      <x:c r="E63" s="58" t="n">
        <x:v>14256</x:v>
      </x:c>
      <x:c r="F63" s="54" t="str">
        <x:v>Verificar código/texto contra la página del PDF antes de publicar lista final.</x:v>
      </x:c>
    </x:row>
    <x:row r="64">
      <x:c r="A64" s="54" t="n">
        <x:v>60</x:v>
      </x:c>
      <x:c r="B64" s="54" t="str">
        <x:v>Accesorios / Consumibles</x:v>
      </x:c>
      <x:c r="C64" s="54" t="str">
        <x:v>DAL1151610</x:v>
      </x:c>
      <x:c r="D64" s="54" t="str">
        <x:v>DISCOS ABRASIVO DE CORTE LATA X10 115*1,6</x:v>
      </x:c>
      <x:c r="E64" s="58" t="n">
        <x:v>5598.33</x:v>
      </x:c>
      <x:c r="F64" s="54" t="str">
        <x:v>Verificar código/texto contra la página del PDF antes de publicar lista final.</x:v>
      </x:c>
    </x:row>
    <x:row r="65">
      <x:c r="A65" s="54" t="n">
        <x:v>60</x:v>
      </x:c>
      <x:c r="B65" s="54" t="str">
        <x:v>Accesorios / Consumibles</x:v>
      </x:c>
      <x:c r="C65" s="54" t="str">
        <x:v>DAL1151250</x:v>
      </x:c>
      <x:c r="D65" s="54" t="str">
        <x:v>DISCOS ABRASIVO DE CORTE LATA X50 115*1,2</x:v>
      </x:c>
      <x:c r="E65" s="58" t="n">
        <x:v>24536.59</x:v>
      </x:c>
      <x:c r="F65" s="54" t="str">
        <x:v>Verificar código/texto contra la página del PDF antes de publicar lista final.</x:v>
      </x:c>
    </x:row>
    <x:row r="66">
      <x:c r="A66" s="54" t="n">
        <x:v>61</x:v>
      </x:c>
      <x:c r="B66" s="54" t="str">
        <x:v>Accesorios / Consumibles</x:v>
      </x:c>
      <x:c r="C66" s="54" t="str">
        <x:v>DAL1151650</x:v>
      </x:c>
      <x:c r="D66" s="54" t="str">
        <x:v>DISCOS ABRASIVO DE CORTE LATA X50 115*1,6</x:v>
      </x:c>
      <x:c r="E66" s="58" t="n">
        <x:v>23967.59</x:v>
      </x:c>
      <x:c r="F66" s="54" t="str">
        <x:v>Verificar código/texto contra la página del PDF antes de publicar lista final.</x:v>
      </x:c>
    </x:row>
    <x:row r="67">
      <x:c r="A67" s="54" t="n">
        <x:v>61</x:v>
      </x:c>
      <x:c r="B67" s="54" t="str">
        <x:v>Accesorios / Consumibles</x:v>
      </x:c>
      <x:c r="C67" s="54" t="str">
        <x:v>DDS2301-9</x:v>
      </x:c>
      <x:c r="D67" s="54" t="str">
        <x:v>Disco diamantado segmentado 230mm,</x:v>
      </x:c>
      <x:c r="E67" s="58" t="n">
        <x:v>1829.96</x:v>
      </x:c>
      <x:c r="F67" s="54" t="str">
        <x:v>Verificar código/texto contra la página del PDF antes de publicar lista final.</x:v>
      </x:c>
    </x:row>
    <x:row r="68">
      <x:c r="A68" s="54" t="n">
        <x:v>63</x:v>
      </x:c>
      <x:c r="B68" s="54" t="str">
        <x:v>Accesorios / Consumibles</x:v>
      </x:c>
      <x:c r="C68" s="54" t="str">
        <x:v>LQFLAP60</x:v>
      </x:c>
      <x:c r="D68" s="54" t="str">
        <x:v>Disco Flap GR60 Zirconio</x:v>
      </x:c>
      <x:c r="E68" s="58" t="n">
        <x:v>1487.76</x:v>
      </x:c>
      <x:c r="F68" s="54" t="str">
        <x:v>Verificar código/texto contra la página del PDF antes de publicar lista final.</x:v>
      </x:c>
    </x:row>
    <x:row r="69">
      <x:c r="A69" s="54" t="n">
        <x:v>63</x:v>
      </x:c>
      <x:c r="B69" s="54" t="str">
        <x:v>Accesorios / Consumibles</x:v>
      </x:c>
      <x:c r="C69" s="54" t="str">
        <x:v>EEPGP500</x:v>
      </x:c>
      <x:c r="D69" s="54" t="str">
        <x:v>ESPUMA DE POLIURETANO 500ML GARDEN PLU SCAJA X12</x:v>
      </x:c>
      <x:c r="E69" s="58" t="n">
        <x:v>54344.36</x:v>
      </x:c>
      <x:c r="F69" s="54" t="str">
        <x:v>Verificar código/texto contra la página del PDF antes de publicar lista final.</x:v>
      </x:c>
    </x:row>
    <x:row r="70">
      <x:c r="A70" s="54" t="n">
        <x:v>64</x:v>
      </x:c>
      <x:c r="B70" s="54" t="str">
        <x:v>Accesorios / Consumibles</x:v>
      </x:c>
      <x:c r="C70" s="54" t="str">
        <x:v>EEPGP750</x:v>
      </x:c>
      <x:c r="D70" s="54" t="str">
        <x:v>ESPUMA DE POLIURETANO 750ML GARDEN PLUS CAJA X12</x:v>
      </x:c>
      <x:c r="E70" s="58" t="n">
        <x:v>69871.31</x:v>
      </x:c>
      <x:c r="F70" s="54" t="str">
        <x:v>Verificar código/texto contra la página del PDF antes de publicar lista final.</x:v>
      </x:c>
    </x:row>
    <x:row r="71">
      <x:c r="A71" s="54" t="n">
        <x:v>64</x:v>
      </x:c>
      <x:c r="B71" s="54" t="str">
        <x:v>Accesorios / Consumibles</x:v>
      </x:c>
      <x:c r="C71" s="54" t="str">
        <x:v>TR240L-9</x:v>
      </x:c>
      <x:c r="D71" s="54" t="str">
        <x:v>TANZA AMARILLA PERFIL REDONDO 2.4mm,</x:v>
      </x:c>
      <x:c r="E71" s="58" t="n">
        <x:v>18807.12</x:v>
      </x:c>
      <x:c r="F71" s="54" t="str">
        <x:v>Verificar código/texto contra la página del PDF antes de publicar lista final.</x:v>
      </x:c>
    </x:row>
    <x:row r="72">
      <x:c r="A72" s="54" t="n">
        <x:v>68</x:v>
      </x:c>
      <x:c r="B72" s="54" t="str">
        <x:v>Generadores / Bomba de Agua</x:v>
      </x:c>
      <x:c r="C72" s="54" t="str">
        <x:v>CPMI58</x:v>
      </x:c>
      <x:c r="D72" s="54" t="str">
        <x:v>BOMBA CENTRIFUGA</x:v>
      </x:c>
      <x:c r="E72" s="58" t="n">
        <x:v>89223.94</x:v>
      </x:c>
      <x:c r="F72" s="54" t="str">
        <x:v>Verificar código/texto contra la página del PDF antes de publicar lista final.</x:v>
      </x:c>
    </x:row>
    <x:row r="73">
      <x:c r="A73" s="54" t="n">
        <x:v>68</x:v>
      </x:c>
      <x:c r="B73" s="54" t="str">
        <x:v>Generadores / Bomba de Agua</x:v>
      </x:c>
      <x:c r="C73" s="54" t="str">
        <x:v>CPM190T</x:v>
      </x:c>
      <x:c r="D73" s="54" t="str">
        <x:v>BOMBA CENTRIFUGA 2HP TRIFASICA</x:v>
      </x:c>
      <x:c r="E73" s="58" t="n">
        <x:v>311407.17</x:v>
      </x:c>
      <x:c r="F73" s="54" t="str">
        <x:v>Verificar código/texto contra la página del PDF antes de publicar lista final.</x:v>
      </x:c>
    </x:row>
    <x:row r="74">
      <x:c r="A74" s="54" t="n">
        <x:v>68</x:v>
      </x:c>
      <x:c r="B74" s="54" t="str">
        <x:v>Generadores / Bomba de Agua</x:v>
      </x:c>
      <x:c r="C74" s="54" t="str">
        <x:v>BP150G-7</x:v>
      </x:c>
      <x:c r="D74" s="54" t="str">
        <x:v>BOMBA PERIFERICA 0,5 HP GARDEN PLUS</x:v>
      </x:c>
      <x:c r="E74" s="58" t="n">
        <x:v>29000</x:v>
      </x:c>
      <x:c r="F74" s="54" t="str">
        <x:v>Verificar código/texto contra la página del PDF antes de publicar lista final.</x:v>
      </x:c>
    </x:row>
    <x:row r="75">
      <x:c r="A75" s="54" t="n">
        <x:v>71</x:v>
      </x:c>
      <x:c r="B75" s="54" t="str">
        <x:v>Estética y Accesorios Automotor</x:v>
      </x:c>
      <x:c r="C75" s="54" t="str">
        <x:v>LCR-40</x:v>
      </x:c>
      <x:c r="D75" s="54" t="str">
        <x:v>CARGADOR DE BATERIA 12V LUSQTOFF</x:v>
      </x:c>
      <x:c r="E75" s="58" t="n">
        <x:v>174947.85</x:v>
      </x:c>
      <x:c r="F75" s="54" t="str">
        <x:v>Verificar código/texto contra la página del PDF antes de publicar lista final.</x:v>
      </x:c>
    </x:row>
    <x:row r="76">
      <x:c r="A76" s="54" t="n">
        <x:v>71</x:v>
      </x:c>
      <x:c r="B76" s="54" t="str">
        <x:v>Estética y Accesorios Automotor</x:v>
      </x:c>
      <x:c r="C76" s="54" t="str">
        <x:v>MCLI50-8</x:v>
      </x:c>
      <x:c r="D76" s="54" t="str">
        <x:v>MINI COMPRESOR 12V 150psi</x:v>
      </x:c>
      <x:c r="E76" s="58" t="n">
        <x:v>59482.27</x:v>
      </x:c>
      <x:c r="F76" s="54" t="str">
        <x:v>Verificar código/texto contra la página del PDF antes de publicar lista final.</x:v>
      </x:c>
    </x:row>
    <x:row r="77">
      <x:c r="A77" s="54" t="n">
        <x:v>73</x:v>
      </x:c>
      <x:c r="B77" s="54" t="str">
        <x:v>Estética y Accesorios Automotor</x:v>
      </x:c>
      <x:c r="C77" s="54" t="str">
        <x:v>LQH91204</x:v>
      </x:c>
      <x:c r="D77" s="54" t="str">
        <x:v>CRIQUET BOTELLA 12TN</x:v>
      </x:c>
      <x:c r="E77" s="58" t="n">
        <x:v>69979.14</x:v>
      </x:c>
      <x:c r="F77" s="54" t="str">
        <x:v>Verificar código/texto contra la página del PDF antes de publicar lista final.</x:v>
      </x:c>
    </x:row>
    <x:row r="78">
      <x:c r="A78" s="54" t="n">
        <x:v>73</x:v>
      </x:c>
      <x:c r="B78" s="54" t="str">
        <x:v>Estética y Accesorios Automotor</x:v>
      </x:c>
      <x:c r="C78" s="54" t="str">
        <x:v>PUL180-9B</x:v>
      </x:c>
      <x:c r="D78" s="54" t="str">
        <x:v>PULIDORA INALAMBRICA</x:v>
      </x:c>
      <x:c r="E78" s="58" t="n">
        <x:v>367394.84</x:v>
      </x:c>
      <x:c r="F78" s="54" t="str">
        <x:v>Verificar código/texto contra la página del PDF antes de publicar lista final.</x:v>
      </x:c>
    </x:row>
    <x:row r="79">
      <x:c r="A79" s="54" t="n">
        <x:v>73</x:v>
      </x:c>
      <x:c r="B79" s="54" t="str">
        <x:v>Estética y Accesorios Automotor</x:v>
      </x:c>
      <x:c r="C79" s="54" t="str">
        <x:v>PRDL900-9</x:v>
      </x:c>
      <x:c r="D79" s="54" t="str">
        <x:v>PULIDORA ROTO ORBITAL</x:v>
      </x:c>
      <x:c r="E79" s="58" t="n">
        <x:v>139352.4</x:v>
      </x:c>
      <x:c r="F79" s="54" t="str">
        <x:v>Verificar código/texto contra la página del PDF antes de publicar lista final.</x:v>
      </x:c>
    </x:row>
    <x:row r="80">
      <x:c r="A80" s="54" t="n">
        <x:v>74</x:v>
      </x:c>
      <x:c r="B80" s="54" t="str">
        <x:v>Estética y Accesorios Automotor</x:v>
      </x:c>
      <x:c r="C80" s="54" t="str">
        <x:v>LA38-8BK</x:v>
      </x:c>
      <x:c r="D80" s="54" t="str">
        <x:v>ASPIRADORA A BATERIA + BATERIA Y CARGADOR (IRON VOLT)</x:v>
      </x:c>
      <x:c r="E80" s="58" t="n">
        <x:v>95804.78</x:v>
      </x:c>
      <x:c r="F80" s="54" t="str">
        <x:v>Verificar código/texto contra la página del PDF antes de publicar lista final.</x:v>
      </x:c>
    </x:row>
    <x:row r="81">
      <x:c r="A81" s="54" t="n">
        <x:v>74</x:v>
      </x:c>
      <x:c r="B81" s="54" t="str">
        <x:v>Estética y Accesorios Automotor</x:v>
      </x:c>
      <x:c r="C81" s="54" t="str">
        <x:v>LA-1500MM</x:v>
      </x:c>
      <x:c r="D81" s="54" t="str">
        <x:v>ASPIRADORA TANQUE METAL 1000W-15</x:v>
      </x:c>
      <x:c r="E81" s="58" t="n">
        <x:v>77880</x:v>
      </x:c>
      <x:c r="F81" s="54" t="str">
        <x:v>Verificar código/texto contra la página del PDF antes de publicar lista final.</x:v>
      </x:c>
    </x:row>
    <x:row r="82">
      <x:c r="A82" s="54" t="n">
        <x:v>77</x:v>
      </x:c>
      <x:c r="B82" s="54" t="str">
        <x:v>Y Más Herramientas</x:v>
      </x:c>
      <x:c r="C82" s="54" t="str">
        <x:v>N3</x:v>
      </x:c>
      <x:c r="D82" s="54" t="str">
        <x:v>APAREJO ELÉCTRICO 500/1000KG 12M</x:v>
      </x:c>
      <x:c r="E82" s="58" t="n">
        <x:v>314906.13</x:v>
      </x:c>
      <x:c r="F82" s="54" t="str">
        <x:v>Verificar código/texto contra la página del PDF antes de publicar lista final.</x:v>
      </x:c>
    </x:row>
    <x:row r="83">
      <x:c r="A83" s="54" t="n">
        <x:v>77</x:v>
      </x:c>
      <x:c r="B83" s="54" t="str">
        <x:v>Y Más Herramientas</x:v>
      </x:c>
      <x:c r="C83" s="54" t="str">
        <x:v>CCL600-8</x:v>
      </x:c>
      <x:c r="D83" s="54" t="str">
        <x:v>CORTADORA DE CERAMICO 600MM MAXIMO</x:v>
      </x:c>
      <x:c r="E83" s="58" t="n">
        <x:v>69979.14</x:v>
      </x:c>
      <x:c r="F83" s="54" t="str">
        <x:v>Verificar código/texto contra la página del PDF antes de publicar lista final.</x:v>
      </x:c>
    </x:row>
  </x:sheetData>
  <x:pageMargins left="0.7" right="0.7" top="0.75" bottom="0.75" header="0.3" footer="0.3"/>
  <x:tableParts count="1">
    <x:tablePart xmlns:r="http://schemas.openxmlformats.org/officeDocument/2006/relationships" r:id="R03d89501c7d34715"/>
  </x:tableParts>
</x:worksheet>
</file>